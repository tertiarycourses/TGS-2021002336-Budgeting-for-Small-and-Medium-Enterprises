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Actual" sheetId="2" state="visible" r:id="rId4"/>
    <sheet name="Vari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<sst xmlns="http://schemas.openxmlformats.org/spreadsheetml/2006/main" count="71" uniqueCount="34">
  <si>
    <t xml:space="preserve">GreenLeaf Trading Pte Ltd — FY2026 Budget (S$)</t>
  </si>
  <si>
    <t xml:space="preserve">Account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</si>
  <si>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</si>
  <si>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</si>
  <si>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</si>
  <si>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</si>
  <si>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</si>
  <si>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</si>
  <si>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</si>
  <si>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</si>
  <si>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</si>
  <si>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</si>
  <si>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</si>
  <si>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</si>
  <si>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</si>
  <si>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Sales</t>
  </si>
  <si>
    <t xml:space="preserve">Sales Commission</t>
  </si>
  <si>
    <t xml:space="preserve">Direct Costs</t>
  </si>
  <si>
    <t xml:space="preserve">Office Rent</t>
  </si>
  <si>
    <t xml:space="preserve">Salaries</t>
  </si>
  <si>
    <t xml:space="preserve">Marketing</t>
  </si>
  <si>
    <t xml:space="preserve">Utilities</t>
  </si>
  <si>
    <t xml:space="preserve">Other Expenses</t>
  </si>
  <si>
    <t xml:space="preserve">GreenLeaf Trading Pte Ltd — FY2026 Actual (S$)</t>
  </si>
  <si>
    <t xml:space="preserve">Variance Analysis — Actual vs Budget (full year)</t>
  </si>
  <si>
    <t xml:space="preserve">Threshold:</t>
  </si>
  <si>
    <t xml:space="preserve">Type</t>
  </si>
  <si>
    <t xml:space="preserve">Budget</t>
  </si>
  <si>
    <t xml:space="preserve">Actual</t>
  </si>
  <si>
    <t xml:space="preserve">Variance</t>
  </si>
  <si>
    <t xml:space="preserve">Var %</t>
  </si>
  <si>
    <t xml:space="preserve">Classification</t>
  </si>
  <si>
    <t xml:space="preserve">income</t>
  </si>
  <si>
    <t xml:space="preserve">expense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</si>
</sst>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0FE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1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4" t="n">
        <v>90000</v>
      </c>
      <c r="C4" s="4" t="n">
        <v>91800</v>
      </c>
      <c r="D4" s="4" t="n">
        <v>93636</v>
      </c>
      <c r="E4" s="4" t="n">
        <v>95509</v>
      </c>
      <c r="F4" s="4" t="n">
        <v>97419</v>
      </c>
      <c r="G4" s="4" t="n">
        <v>99367</v>
      </c>
      <c r="H4" s="4" t="n">
        <v>101354</v>
      </c>
      <c r="I4" s="4" t="n">
        <v>103381</v>
      </c>
      <c r="J4" s="4" t="n">
        <v>105449</v>
      </c>
      <c r="K4" s="4" t="n">
        <v>107558</v>
      </c>
      <c r="L4" s="4" t="n">
        <v>109709</v>
      </c>
      <c r="M4" s="4" t="n">
        <v>111903</v>
      </c>
      <c r="N4" s="5" t="n">
        <f aca="false">SUM(B4:M4)</f>
        <v>1207085</v>
      </c>
    </row>
    <row r="5" customFormat="false" ht="15" hidden="false" customHeight="false" outlineLevel="0" collapsed="false">
      <c r="A5" s="3" t="s">
        <v>16</v>
      </c>
      <c r="B5" s="4" t="n">
        <v>4500</v>
      </c>
      <c r="C5" s="4" t="n">
        <v>4590</v>
      </c>
      <c r="D5" s="4" t="n">
        <v>4682</v>
      </c>
      <c r="E5" s="4" t="n">
        <v>4776</v>
      </c>
      <c r="F5" s="4" t="n">
        <v>4872</v>
      </c>
      <c r="G5" s="4" t="n">
        <v>4969</v>
      </c>
      <c r="H5" s="4" t="n">
        <v>5068</v>
      </c>
      <c r="I5" s="4" t="n">
        <v>5169</v>
      </c>
      <c r="J5" s="4" t="n">
        <v>5272</v>
      </c>
      <c r="K5" s="4" t="n">
        <v>5377</v>
      </c>
      <c r="L5" s="4" t="n">
        <v>5485</v>
      </c>
      <c r="M5" s="4" t="n">
        <v>5595</v>
      </c>
      <c r="N5" s="5" t="n">
        <f aca="false">SUM(B5:M5)</f>
        <v>60355</v>
      </c>
    </row>
    <row r="6" customFormat="false" ht="15" hidden="false" customHeight="false" outlineLevel="0" collapsed="false">
      <c r="A6" s="3" t="s">
        <v>17</v>
      </c>
      <c r="B6" s="4" t="n">
        <v>49500</v>
      </c>
      <c r="C6" s="4" t="n">
        <v>50490</v>
      </c>
      <c r="D6" s="4" t="n">
        <v>51500</v>
      </c>
      <c r="E6" s="4" t="n">
        <v>52530</v>
      </c>
      <c r="F6" s="4" t="n">
        <v>53581</v>
      </c>
      <c r="G6" s="4" t="n">
        <v>54653</v>
      </c>
      <c r="H6" s="4" t="n">
        <v>55746</v>
      </c>
      <c r="I6" s="4" t="n">
        <v>56861</v>
      </c>
      <c r="J6" s="4" t="n">
        <v>57998</v>
      </c>
      <c r="K6" s="4" t="n">
        <v>59158</v>
      </c>
      <c r="L6" s="4" t="n">
        <v>60341</v>
      </c>
      <c r="M6" s="4" t="n">
        <v>61548</v>
      </c>
      <c r="N6" s="5" t="n">
        <f aca="false">SUM(B6:M6)</f>
        <v>663906</v>
      </c>
    </row>
    <row r="7" customFormat="false" ht="15" hidden="false" customHeight="false" outlineLevel="0" collapsed="false">
      <c r="A7" s="3" t="s">
        <v>18</v>
      </c>
      <c r="B7" s="4" t="n">
        <v>8000</v>
      </c>
      <c r="C7" s="4" t="n">
        <v>8000</v>
      </c>
      <c r="D7" s="4" t="n">
        <v>8000</v>
      </c>
      <c r="E7" s="4" t="n">
        <v>8000</v>
      </c>
      <c r="F7" s="4" t="n">
        <v>8000</v>
      </c>
      <c r="G7" s="4" t="n">
        <v>8000</v>
      </c>
      <c r="H7" s="4" t="n">
        <v>8000</v>
      </c>
      <c r="I7" s="4" t="n">
        <v>8000</v>
      </c>
      <c r="J7" s="4" t="n">
        <v>8000</v>
      </c>
      <c r="K7" s="4" t="n">
        <v>8000</v>
      </c>
      <c r="L7" s="4" t="n">
        <v>8000</v>
      </c>
      <c r="M7" s="4" t="n">
        <v>8000</v>
      </c>
      <c r="N7" s="5" t="n">
        <f aca="false">SUM(B7:M7)</f>
        <v>96000</v>
      </c>
    </row>
    <row r="8" customFormat="false" ht="15" hidden="false" customHeight="false" outlineLevel="0" collapsed="false">
      <c r="A8" s="3" t="s">
        <v>19</v>
      </c>
      <c r="B8" s="4" t="n">
        <v>17500</v>
      </c>
      <c r="C8" s="4" t="n">
        <v>17500</v>
      </c>
      <c r="D8" s="4" t="n">
        <v>17500</v>
      </c>
      <c r="E8" s="4" t="n">
        <v>17500</v>
      </c>
      <c r="F8" s="4" t="n">
        <v>17500</v>
      </c>
      <c r="G8" s="4" t="n">
        <v>17500</v>
      </c>
      <c r="H8" s="4" t="n">
        <v>17500</v>
      </c>
      <c r="I8" s="4" t="n">
        <v>17500</v>
      </c>
      <c r="J8" s="4" t="n">
        <v>17500</v>
      </c>
      <c r="K8" s="4" t="n">
        <v>17500</v>
      </c>
      <c r="L8" s="4" t="n">
        <v>17500</v>
      </c>
      <c r="M8" s="4" t="n">
        <v>17500</v>
      </c>
      <c r="N8" s="5" t="n">
        <f aca="false">SUM(B8:M8)</f>
        <v>210000</v>
      </c>
    </row>
    <row r="9" customFormat="false" ht="15" hidden="false" customHeight="false" outlineLevel="0" collapsed="false">
      <c r="A9" s="3" t="s">
        <v>20</v>
      </c>
      <c r="B9" s="4" t="n">
        <v>4000</v>
      </c>
      <c r="C9" s="4" t="n">
        <v>4000</v>
      </c>
      <c r="D9" s="4" t="n">
        <v>4000</v>
      </c>
      <c r="E9" s="4" t="n">
        <v>4000</v>
      </c>
      <c r="F9" s="4" t="n">
        <v>4000</v>
      </c>
      <c r="G9" s="4" t="n">
        <v>4000</v>
      </c>
      <c r="H9" s="4" t="n">
        <v>4000</v>
      </c>
      <c r="I9" s="4" t="n">
        <v>4000</v>
      </c>
      <c r="J9" s="4" t="n">
        <v>4000</v>
      </c>
      <c r="K9" s="4" t="n">
        <v>4000</v>
      </c>
      <c r="L9" s="4" t="n">
        <v>4000</v>
      </c>
      <c r="M9" s="4" t="n">
        <v>4000</v>
      </c>
      <c r="N9" s="5" t="n">
        <f aca="false">SUM(B9:M9)</f>
        <v>48000</v>
      </c>
    </row>
    <row r="10" customFormat="false" ht="15" hidden="false" customHeight="false" outlineLevel="0" collapsed="false">
      <c r="A10" s="3" t="s">
        <v>21</v>
      </c>
      <c r="B10" s="4" t="n">
        <v>1500</v>
      </c>
      <c r="C10" s="4" t="n">
        <v>1500</v>
      </c>
      <c r="D10" s="4" t="n">
        <v>1500</v>
      </c>
      <c r="E10" s="4" t="n">
        <v>1500</v>
      </c>
      <c r="F10" s="4" t="n">
        <v>1500</v>
      </c>
      <c r="G10" s="4" t="n">
        <v>1500</v>
      </c>
      <c r="H10" s="4" t="n">
        <v>1500</v>
      </c>
      <c r="I10" s="4" t="n">
        <v>1500</v>
      </c>
      <c r="J10" s="4" t="n">
        <v>1500</v>
      </c>
      <c r="K10" s="4" t="n">
        <v>1500</v>
      </c>
      <c r="L10" s="4" t="n">
        <v>1500</v>
      </c>
      <c r="M10" s="4" t="n">
        <v>1500</v>
      </c>
      <c r="N10" s="5" t="n">
        <f aca="false">SUM(B10:M10)</f>
        <v>18000</v>
      </c>
    </row>
    <row r="11" customFormat="false" ht="15" hidden="false" customHeight="false" outlineLevel="0" collapsed="false">
      <c r="A11" s="3" t="s">
        <v>22</v>
      </c>
      <c r="B11" s="4" t="n">
        <v>1800</v>
      </c>
      <c r="C11" s="4" t="n">
        <v>1800</v>
      </c>
      <c r="D11" s="4" t="n">
        <v>1800</v>
      </c>
      <c r="E11" s="4" t="n">
        <v>1800</v>
      </c>
      <c r="F11" s="4" t="n">
        <v>1800</v>
      </c>
      <c r="G11" s="4" t="n">
        <v>1800</v>
      </c>
      <c r="H11" s="4" t="n">
        <v>1800</v>
      </c>
      <c r="I11" s="4" t="n">
        <v>1800</v>
      </c>
      <c r="J11" s="4" t="n">
        <v>1800</v>
      </c>
      <c r="K11" s="4" t="n">
        <v>1800</v>
      </c>
      <c r="L11" s="4" t="n">
        <v>1800</v>
      </c>
      <c r="M11" s="4" t="n">
        <v>1800</v>
      </c>
      <c r="N11" s="5" t="n">
        <f aca="false">SUM(B11:M11)</f>
        <v>21600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11"/>
  </cols>
  <sheetData>
    <row r="1" customFormat="false" ht="15" hidden="false" customHeight="false" outlineLevel="0" collapsed="false">
      <c r="A1" s="1" t="s">
        <v>23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4" t="n">
        <v>87300</v>
      </c>
      <c r="C4" s="4" t="n">
        <v>89046</v>
      </c>
      <c r="D4" s="4" t="n">
        <v>90827</v>
      </c>
      <c r="E4" s="4" t="n">
        <v>92644</v>
      </c>
      <c r="F4" s="4" t="n">
        <v>94496</v>
      </c>
      <c r="G4" s="4" t="n">
        <v>96386</v>
      </c>
      <c r="H4" s="4" t="n">
        <v>98313</v>
      </c>
      <c r="I4" s="4" t="n">
        <v>100280</v>
      </c>
      <c r="J4" s="4" t="n">
        <v>102286</v>
      </c>
      <c r="K4" s="4" t="n">
        <v>104331</v>
      </c>
      <c r="L4" s="4" t="n">
        <v>106418</v>
      </c>
      <c r="M4" s="4" t="n">
        <v>108546</v>
      </c>
      <c r="N4" s="5" t="n">
        <f aca="false">SUM(B4:M4)</f>
        <v>1170873</v>
      </c>
    </row>
    <row r="5" customFormat="false" ht="15" hidden="false" customHeight="false" outlineLevel="0" collapsed="false">
      <c r="A5" s="3" t="s">
        <v>16</v>
      </c>
      <c r="B5" s="4" t="n">
        <v>4365</v>
      </c>
      <c r="C5" s="4" t="n">
        <v>4452</v>
      </c>
      <c r="D5" s="4" t="n">
        <v>4542</v>
      </c>
      <c r="E5" s="4" t="n">
        <v>4633</v>
      </c>
      <c r="F5" s="4" t="n">
        <v>4726</v>
      </c>
      <c r="G5" s="4" t="n">
        <v>4820</v>
      </c>
      <c r="H5" s="4" t="n">
        <v>4916</v>
      </c>
      <c r="I5" s="4" t="n">
        <v>5014</v>
      </c>
      <c r="J5" s="4" t="n">
        <v>5114</v>
      </c>
      <c r="K5" s="4" t="n">
        <v>5216</v>
      </c>
      <c r="L5" s="4" t="n">
        <v>5320</v>
      </c>
      <c r="M5" s="4" t="n">
        <v>5427</v>
      </c>
      <c r="N5" s="5" t="n">
        <f aca="false">SUM(B5:M5)</f>
        <v>58545</v>
      </c>
    </row>
    <row r="6" customFormat="false" ht="15" hidden="false" customHeight="false" outlineLevel="0" collapsed="false">
      <c r="A6" s="3" t="s">
        <v>17</v>
      </c>
      <c r="B6" s="4" t="n">
        <v>51480</v>
      </c>
      <c r="C6" s="4" t="n">
        <v>52510</v>
      </c>
      <c r="D6" s="4" t="n">
        <v>53560</v>
      </c>
      <c r="E6" s="4" t="n">
        <v>54631</v>
      </c>
      <c r="F6" s="4" t="n">
        <v>55724</v>
      </c>
      <c r="G6" s="4" t="n">
        <v>56839</v>
      </c>
      <c r="H6" s="4" t="n">
        <v>57976</v>
      </c>
      <c r="I6" s="4" t="n">
        <v>59135</v>
      </c>
      <c r="J6" s="4" t="n">
        <v>60318</v>
      </c>
      <c r="K6" s="4" t="n">
        <v>61524</v>
      </c>
      <c r="L6" s="4" t="n">
        <v>62755</v>
      </c>
      <c r="M6" s="4" t="n">
        <v>64010</v>
      </c>
      <c r="N6" s="5" t="n">
        <f aca="false">SUM(B6:M6)</f>
        <v>690462</v>
      </c>
    </row>
    <row r="7" customFormat="false" ht="15" hidden="false" customHeight="false" outlineLevel="0" collapsed="false">
      <c r="A7" s="3" t="s">
        <v>18</v>
      </c>
      <c r="B7" s="4" t="n">
        <v>8000</v>
      </c>
      <c r="C7" s="4" t="n">
        <v>8000</v>
      </c>
      <c r="D7" s="4" t="n">
        <v>8000</v>
      </c>
      <c r="E7" s="4" t="n">
        <v>8000</v>
      </c>
      <c r="F7" s="4" t="n">
        <v>8000</v>
      </c>
      <c r="G7" s="4" t="n">
        <v>8000</v>
      </c>
      <c r="H7" s="4" t="n">
        <v>8000</v>
      </c>
      <c r="I7" s="4" t="n">
        <v>8000</v>
      </c>
      <c r="J7" s="4" t="n">
        <v>8000</v>
      </c>
      <c r="K7" s="4" t="n">
        <v>8000</v>
      </c>
      <c r="L7" s="4" t="n">
        <v>8000</v>
      </c>
      <c r="M7" s="4" t="n">
        <v>8000</v>
      </c>
      <c r="N7" s="5" t="n">
        <f aca="false">SUM(B7:M7)</f>
        <v>96000</v>
      </c>
    </row>
    <row r="8" customFormat="false" ht="15" hidden="false" customHeight="false" outlineLevel="0" collapsed="false">
      <c r="A8" s="3" t="s">
        <v>19</v>
      </c>
      <c r="B8" s="4" t="n">
        <v>17850</v>
      </c>
      <c r="C8" s="4" t="n">
        <v>17850</v>
      </c>
      <c r="D8" s="4" t="n">
        <v>17850</v>
      </c>
      <c r="E8" s="4" t="n">
        <v>17850</v>
      </c>
      <c r="F8" s="4" t="n">
        <v>17850</v>
      </c>
      <c r="G8" s="4" t="n">
        <v>17850</v>
      </c>
      <c r="H8" s="4" t="n">
        <v>17850</v>
      </c>
      <c r="I8" s="4" t="n">
        <v>17850</v>
      </c>
      <c r="J8" s="4" t="n">
        <v>17850</v>
      </c>
      <c r="K8" s="4" t="n">
        <v>17850</v>
      </c>
      <c r="L8" s="4" t="n">
        <v>17850</v>
      </c>
      <c r="M8" s="4" t="n">
        <v>17850</v>
      </c>
      <c r="N8" s="5" t="n">
        <f aca="false">SUM(B8:M8)</f>
        <v>214200</v>
      </c>
    </row>
    <row r="9" customFormat="false" ht="15" hidden="false" customHeight="false" outlineLevel="0" collapsed="false">
      <c r="A9" s="3" t="s">
        <v>20</v>
      </c>
      <c r="B9" s="4" t="n">
        <v>5120</v>
      </c>
      <c r="C9" s="4" t="n">
        <v>5120</v>
      </c>
      <c r="D9" s="4" t="n">
        <v>5120</v>
      </c>
      <c r="E9" s="4" t="n">
        <v>5120</v>
      </c>
      <c r="F9" s="4" t="n">
        <v>5120</v>
      </c>
      <c r="G9" s="4" t="n">
        <v>5120</v>
      </c>
      <c r="H9" s="4" t="n">
        <v>5120</v>
      </c>
      <c r="I9" s="4" t="n">
        <v>5120</v>
      </c>
      <c r="J9" s="4" t="n">
        <v>5120</v>
      </c>
      <c r="K9" s="4" t="n">
        <v>5120</v>
      </c>
      <c r="L9" s="4" t="n">
        <v>5120</v>
      </c>
      <c r="M9" s="4" t="n">
        <v>5120</v>
      </c>
      <c r="N9" s="5" t="n">
        <f aca="false">SUM(B9:M9)</f>
        <v>61440</v>
      </c>
    </row>
    <row r="10" customFormat="false" ht="15" hidden="false" customHeight="false" outlineLevel="0" collapsed="false">
      <c r="A10" s="3" t="s">
        <v>21</v>
      </c>
      <c r="B10" s="4" t="n">
        <v>1605</v>
      </c>
      <c r="C10" s="4" t="n">
        <v>1605</v>
      </c>
      <c r="D10" s="4" t="n">
        <v>1605</v>
      </c>
      <c r="E10" s="4" t="n">
        <v>1605</v>
      </c>
      <c r="F10" s="4" t="n">
        <v>1605</v>
      </c>
      <c r="G10" s="4" t="n">
        <v>1605</v>
      </c>
      <c r="H10" s="4" t="n">
        <v>1605</v>
      </c>
      <c r="I10" s="4" t="n">
        <v>1605</v>
      </c>
      <c r="J10" s="4" t="n">
        <v>1605</v>
      </c>
      <c r="K10" s="4" t="n">
        <v>1605</v>
      </c>
      <c r="L10" s="4" t="n">
        <v>1605</v>
      </c>
      <c r="M10" s="4" t="n">
        <v>1605</v>
      </c>
      <c r="N10" s="5" t="n">
        <f aca="false">SUM(B10:M10)</f>
        <v>19260</v>
      </c>
    </row>
    <row r="11" customFormat="false" ht="15" hidden="false" customHeight="false" outlineLevel="0" collapsed="false">
      <c r="A11" s="3" t="s">
        <v>22</v>
      </c>
      <c r="B11" s="4" t="n">
        <v>1656</v>
      </c>
      <c r="C11" s="4" t="n">
        <v>1656</v>
      </c>
      <c r="D11" s="4" t="n">
        <v>1656</v>
      </c>
      <c r="E11" s="4" t="n">
        <v>1656</v>
      </c>
      <c r="F11" s="4" t="n">
        <v>1656</v>
      </c>
      <c r="G11" s="4" t="n">
        <v>1656</v>
      </c>
      <c r="H11" s="4" t="n">
        <v>1656</v>
      </c>
      <c r="I11" s="4" t="n">
        <v>1656</v>
      </c>
      <c r="J11" s="4" t="n">
        <v>1656</v>
      </c>
      <c r="K11" s="4" t="n">
        <v>1656</v>
      </c>
      <c r="L11" s="4" t="n">
        <v>1656</v>
      </c>
      <c r="M11" s="4" t="n">
        <v>1656</v>
      </c>
      <c r="N11" s="5" t="n">
        <f aca="false">SUM(B11:M11)</f>
        <v>19872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24</v>
      </c>
    </row>
    <row r="2" customFormat="false" ht="15" hidden="false" customHeight="false" outlineLevel="0" collapsed="false">
      <c r="A2" s="3" t="s">
        <v>25</v>
      </c>
      <c r="B2" s="6" t="n">
        <v>0.1</v>
      </c>
    </row>
    <row r="4" customFormat="false" ht="15" hidden="false" customHeight="false" outlineLevel="0" collapsed="false">
      <c r="A4" s="2" t="s">
        <v>1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</row>
    <row r="5" customFormat="false" ht="15" hidden="false" customHeight="false" outlineLevel="0" collapsed="false">
      <c r="A5" s="3" t="s">
        <v>15</v>
      </c>
      <c r="B5" s="3" t="s">
        <v>32</v>
      </c>
      <c r="C5" s="7" t="n">
        <f aca="false">Budget!N4</f>
        <v>1207085</v>
      </c>
      <c r="D5" s="7" t="n">
        <f aca="false">Actual!N4</f>
        <v>1170873</v>
      </c>
      <c r="E5" s="7" t="n">
        <f aca="false">D5-C5</f>
        <v>-36212</v>
      </c>
      <c r="F5" s="8" t="n">
        <f aca="false">E5/C5</f>
        <v>-0.0299995443568597</v>
      </c>
      <c r="G5" s="3" t="str">
        <f aca="false">IF(B5="income",IF(E5&gt;=0,"Favourable","Adverse"),IF(E5&lt;=0,"Favourable","Adverse"))</f>
        <v>Adverse</v>
      </c>
    </row>
    <row r="6" customFormat="false" ht="15" hidden="false" customHeight="false" outlineLevel="0" collapsed="false">
      <c r="A6" s="3" t="s">
        <v>16</v>
      </c>
      <c r="B6" s="3" t="s">
        <v>33</v>
      </c>
      <c r="C6" s="7" t="n">
        <f aca="false">Budget!N5</f>
        <v>60355</v>
      </c>
      <c r="D6" s="7" t="n">
        <f aca="false">Actual!N5</f>
        <v>58545</v>
      </c>
      <c r="E6" s="7" t="n">
        <f aca="false">D6-C6</f>
        <v>-1810</v>
      </c>
      <c r="F6" s="8" t="n">
        <f aca="false">E6/C6</f>
        <v>-0.0299892303868776</v>
      </c>
      <c r="G6" s="3" t="str">
        <f aca="false">IF(B6="income",IF(E6&gt;=0,"Favourable","Adverse"),IF(E6&lt;=0,"Favourable","Adverse"))</f>
        <v>Favourable</v>
      </c>
    </row>
    <row r="7" customFormat="false" ht="15" hidden="false" customHeight="false" outlineLevel="0" collapsed="false">
      <c r="A7" s="3" t="s">
        <v>17</v>
      </c>
      <c r="B7" s="3" t="s">
        <v>33</v>
      </c>
      <c r="C7" s="7" t="n">
        <f aca="false">Budget!N6</f>
        <v>663906</v>
      </c>
      <c r="D7" s="7" t="n">
        <f aca="false">Actual!N6</f>
        <v>690462</v>
      </c>
      <c r="E7" s="7" t="n">
        <f aca="false">D7-C7</f>
        <v>26556</v>
      </c>
      <c r="F7" s="8" t="n">
        <f aca="false">E7/C7</f>
        <v>0.0399996385030411</v>
      </c>
      <c r="G7" s="3" t="str">
        <f aca="false">IF(B7="income",IF(E7&gt;=0,"Favourable","Adverse"),IF(E7&lt;=0,"Favourable","Adverse"))</f>
        <v>Adverse</v>
      </c>
    </row>
    <row r="8" customFormat="false" ht="15" hidden="false" customHeight="false" outlineLevel="0" collapsed="false">
      <c r="A8" s="3" t="s">
        <v>18</v>
      </c>
      <c r="B8" s="3" t="s">
        <v>33</v>
      </c>
      <c r="C8" s="7" t="n">
        <f aca="false">Budget!N7</f>
        <v>96000</v>
      </c>
      <c r="D8" s="7" t="n">
        <f aca="false">Actual!N7</f>
        <v>96000</v>
      </c>
      <c r="E8" s="7" t="n">
        <f aca="false">D8-C8</f>
        <v>0</v>
      </c>
      <c r="F8" s="8" t="n">
        <f aca="false">E8/C8</f>
        <v>0</v>
      </c>
      <c r="G8" s="3" t="str">
        <f aca="false">IF(B8="income",IF(E8&gt;=0,"Favourable","Adverse"),IF(E8&lt;=0,"Favourable","Adverse"))</f>
        <v>Favourable</v>
      </c>
    </row>
    <row r="9" customFormat="false" ht="15" hidden="false" customHeight="false" outlineLevel="0" collapsed="false">
      <c r="A9" s="3" t="s">
        <v>19</v>
      </c>
      <c r="B9" s="3" t="s">
        <v>33</v>
      </c>
      <c r="C9" s="7" t="n">
        <f aca="false">Budget!N8</f>
        <v>210000</v>
      </c>
      <c r="D9" s="7" t="n">
        <f aca="false">Actual!N8</f>
        <v>214200</v>
      </c>
      <c r="E9" s="7" t="n">
        <f aca="false">D9-C9</f>
        <v>4200</v>
      </c>
      <c r="F9" s="8" t="n">
        <f aca="false">E9/C9</f>
        <v>0.02</v>
      </c>
      <c r="G9" s="3" t="str">
        <f aca="false">IF(B9="income",IF(E9&gt;=0,"Favourable","Adverse"),IF(E9&lt;=0,"Favourable","Adverse"))</f>
        <v>Adverse</v>
      </c>
    </row>
    <row r="10" customFormat="false" ht="15" hidden="false" customHeight="false" outlineLevel="0" collapsed="false">
      <c r="A10" s="3" t="s">
        <v>20</v>
      </c>
      <c r="B10" s="3" t="s">
        <v>33</v>
      </c>
      <c r="C10" s="7" t="n">
        <f aca="false">Budget!N9</f>
        <v>48000</v>
      </c>
      <c r="D10" s="7" t="n">
        <f aca="false">Actual!N9</f>
        <v>61440</v>
      </c>
      <c r="E10" s="7" t="n">
        <f aca="false">D10-C10</f>
        <v>13440</v>
      </c>
      <c r="F10" s="8" t="n">
        <f aca="false">E10/C10</f>
        <v>0.28</v>
      </c>
      <c r="G10" s="3" t="str">
        <f aca="false">IF(B10="income",IF(E10&gt;=0,"Favourable","Adverse"),IF(E10&lt;=0,"Favourable","Adverse"))</f>
        <v>Adverse</v>
      </c>
    </row>
    <row r="11" customFormat="false" ht="15" hidden="false" customHeight="false" outlineLevel="0" collapsed="false">
      <c r="A11" s="3" t="s">
        <v>21</v>
      </c>
      <c r="B11" s="3" t="s">
        <v>33</v>
      </c>
      <c r="C11" s="7" t="n">
        <f aca="false">Budget!N10</f>
        <v>18000</v>
      </c>
      <c r="D11" s="7" t="n">
        <f aca="false">Actual!N10</f>
        <v>19260</v>
      </c>
      <c r="E11" s="7" t="n">
        <f aca="false">D11-C11</f>
        <v>1260</v>
      </c>
      <c r="F11" s="8" t="n">
        <f aca="false">E11/C11</f>
        <v>0.07</v>
      </c>
      <c r="G11" s="3" t="str">
        <f aca="false">IF(B11="income",IF(E11&gt;=0,"Favourable","Adverse"),IF(E11&lt;=0,"Favourable","Adverse"))</f>
        <v>Adverse</v>
      </c>
    </row>
    <row r="12" customFormat="false" ht="15" hidden="false" customHeight="false" outlineLevel="0" collapsed="false">
      <c r="A12" s="3" t="s">
        <v>22</v>
      </c>
      <c r="B12" s="3" t="s">
        <v>33</v>
      </c>
      <c r="C12" s="7" t="n">
        <f aca="false">Budget!N11</f>
        <v>21600</v>
      </c>
      <c r="D12" s="7" t="n">
        <f aca="false">Actual!N11</f>
        <v>19872</v>
      </c>
      <c r="E12" s="7" t="n">
        <f aca="false">D12-C12</f>
        <v>-1728</v>
      </c>
      <c r="F12" s="8" t="n">
        <f aca="false">E12/C12</f>
        <v>-0.08</v>
      </c>
      <c r="G12" s="3" t="str">
        <f aca="false">IF(B12="income",IF(E12&gt;=0,"Favourable","Adverse"),IF(E12&lt;=0,"Favourable","Adverse"))</f>
        <v>Favourable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2026-08-10T18:08:22Z</dcterms:created>
  <dc:creator>openpyxl</dc:creator>
  <dc:description/>
  <dc:language>en-SG</dc:language>
  <cp:lastModifiedBy/>
  <dcterms:modified xsi:type="dcterms:W3CDTF">2026-08-10T18:08:22Z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