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Moni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<sst xmlns="http://schemas.openxmlformats.org/spreadsheetml/2006/main" count="16" uniqueCount="16">
  <si>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GreenLeaf Trading Pte Ltd — Mid-Year Budget Control Monitor (S$)</t>
  </si>
  <si>
    <t xml:space="preserve">Variance threshold:</t>
  </si>
  <si>
    <t xml:space="preserve">Department</t>
  </si>
  <si>
    <t xml:space="preserve">Annual Budget</t>
  </si>
  <si>
    <t xml:space="preserve">YTD Budget</t>
  </si>
  <si>
    <t xml:space="preserve">YTD Actual</t>
  </si>
  <si>
    <t xml:space="preserve">Variance</t>
  </si>
  <si>
    <t xml:space="preserve">Var %</t>
  </si>
  <si>
    <t xml:space="preserve">Status</t>
  </si>
  <si>
    <t xml:space="preserve">Operations</t>
  </si>
  <si>
    <t xml:space="preserve">Sales</t>
  </si>
  <si>
    <t xml:space="preserve">Marketing</t>
  </si>
  <si>
    <t xml:space="preserve">Human Resources</t>
  </si>
  <si>
    <t xml:space="preserve">Finance</t>
  </si>
  <si>
    <t xml:space="preserve">IT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</si>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</sst>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0F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0.1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2" t="s">
        <v>9</v>
      </c>
      <c r="B5" s="5" t="n">
        <v>480000</v>
      </c>
      <c r="C5" s="5" t="n">
        <v>240000</v>
      </c>
      <c r="D5" s="5" t="n">
        <v>262000</v>
      </c>
      <c r="E5" s="6" t="n">
        <f aca="false">D5-C5</f>
        <v>22000</v>
      </c>
      <c r="F5" s="7" t="n">
        <f aca="false">E5/C5</f>
        <v>0.0916666666666667</v>
      </c>
      <c r="G5" s="2" t="str">
        <f aca="false">IF(ABS(F5)&gt;$B$2,"REVIEW","OK")</f>
        <v>OK</v>
      </c>
    </row>
    <row r="6" customFormat="false" ht="15" hidden="false" customHeight="false" outlineLevel="0" collapsed="false">
      <c r="A6" s="2" t="s">
        <v>10</v>
      </c>
      <c r="B6" s="5" t="n">
        <v>300000</v>
      </c>
      <c r="C6" s="5" t="n">
        <v>150000</v>
      </c>
      <c r="D6" s="5" t="n">
        <v>141000</v>
      </c>
      <c r="E6" s="6" t="n">
        <f aca="false">D6-C6</f>
        <v>-9000</v>
      </c>
      <c r="F6" s="7" t="n">
        <f aca="false">E6/C6</f>
        <v>-0.06</v>
      </c>
      <c r="G6" s="2" t="str">
        <f aca="false">IF(ABS(F6)&gt;$B$2,"REVIEW","OK")</f>
        <v>OK</v>
      </c>
    </row>
    <row r="7" customFormat="false" ht="15" hidden="false" customHeight="false" outlineLevel="0" collapsed="false">
      <c r="A7" s="2" t="s">
        <v>11</v>
      </c>
      <c r="B7" s="5" t="n">
        <v>120000</v>
      </c>
      <c r="C7" s="5" t="n">
        <v>60000</v>
      </c>
      <c r="D7" s="5" t="n">
        <v>71500</v>
      </c>
      <c r="E7" s="6" t="n">
        <f aca="false">D7-C7</f>
        <v>11500</v>
      </c>
      <c r="F7" s="7" t="n">
        <f aca="false">E7/C7</f>
        <v>0.191666666666667</v>
      </c>
      <c r="G7" s="2" t="str">
        <f aca="false">IF(ABS(F7)&gt;$B$2,"REVIEW","OK")</f>
        <v>REVIEW</v>
      </c>
    </row>
    <row r="8" customFormat="false" ht="15" hidden="false" customHeight="false" outlineLevel="0" collapsed="false">
      <c r="A8" s="2" t="s">
        <v>12</v>
      </c>
      <c r="B8" s="5" t="n">
        <v>90000</v>
      </c>
      <c r="C8" s="5" t="n">
        <v>45000</v>
      </c>
      <c r="D8" s="5" t="n">
        <v>44200</v>
      </c>
      <c r="E8" s="6" t="n">
        <f aca="false">D8-C8</f>
        <v>-800</v>
      </c>
      <c r="F8" s="7" t="n">
        <f aca="false">E8/C8</f>
        <v>-0.0177777777777778</v>
      </c>
      <c r="G8" s="2" t="str">
        <f aca="false">IF(ABS(F8)&gt;$B$2,"REVIEW","OK")</f>
        <v>OK</v>
      </c>
    </row>
    <row r="9" customFormat="false" ht="15" hidden="false" customHeight="false" outlineLevel="0" collapsed="false">
      <c r="A9" s="2" t="s">
        <v>13</v>
      </c>
      <c r="B9" s="5" t="n">
        <v>75000</v>
      </c>
      <c r="C9" s="5" t="n">
        <v>37500</v>
      </c>
      <c r="D9" s="5" t="n">
        <v>36900</v>
      </c>
      <c r="E9" s="6" t="n">
        <f aca="false">D9-C9</f>
        <v>-600</v>
      </c>
      <c r="F9" s="7" t="n">
        <f aca="false">E9/C9</f>
        <v>-0.016</v>
      </c>
      <c r="G9" s="2" t="str">
        <f aca="false">IF(ABS(F9)&gt;$B$2,"REVIEW","OK")</f>
        <v>OK</v>
      </c>
    </row>
    <row r="10" customFormat="false" ht="15" hidden="false" customHeight="false" outlineLevel="0" collapsed="false">
      <c r="A10" s="2" t="s">
        <v>14</v>
      </c>
      <c r="B10" s="5" t="n">
        <v>110000</v>
      </c>
      <c r="C10" s="5" t="n">
        <v>55000</v>
      </c>
      <c r="D10" s="5" t="n">
        <v>49800</v>
      </c>
      <c r="E10" s="6" t="n">
        <f aca="false">D10-C10</f>
        <v>-5200</v>
      </c>
      <c r="F10" s="7" t="n">
        <f aca="false">E10/C10</f>
        <v>-0.0945454545454545</v>
      </c>
      <c r="G10" s="2" t="str">
        <f aca="false">IF(ABS(F10)&gt;$B$2,"REVIEW","OK")</f>
        <v>OK</v>
      </c>
    </row>
    <row r="11" customFormat="false" ht="15" hidden="false" customHeight="false" outlineLevel="0" collapsed="false">
      <c r="A11" s="1" t="s">
        <v>15</v>
      </c>
      <c r="B11" s="8" t="n">
        <f aca="false">SUM(B5:B10)</f>
        <v>1175000</v>
      </c>
      <c r="C11" s="8" t="n">
        <f aca="false">SUM(C5:C10)</f>
        <v>587500</v>
      </c>
      <c r="D11" s="8" t="n">
        <f aca="false">SUM(D5:D10)</f>
        <v>605400</v>
      </c>
      <c r="E11" s="8" t="n">
        <f aca="false">SUM(E5:E10)</f>
        <v>17900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2026-08-10T18:08:22Z</dcterms:created>
  <dc:creator>openpyxl</dc:creator>
  <dc:description/>
  <dc:language>en-SG</dc:language>
  <cp:lastModifiedBy/>
  <dcterms:modified xsi:type="dcterms:W3CDTF">2026-08-10T18:08:22Z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