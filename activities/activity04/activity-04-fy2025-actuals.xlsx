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Y2025 Actuals" sheetId="1" state="visible" r:id="rId3"/>
    <sheet name="Forecast 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<sst xmlns="http://schemas.openxmlformats.org/spreadsheetml/2006/main" count="36" uniqueCount="36">
  <si>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GreenLeaf Trading Pte Ltd — FY2025 Monthly Actuals (S$) — baseline for the FY2026 forecast</t>
  </si>
  <si>
    <t xml:space="preserve">Account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</si>
  <si>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</si>
  <si>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</si>
  <si>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</si>
  <si>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</si>
  <si>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</si>
  <si>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</si>
  <si>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</si>
  <si>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</si>
  <si>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</si>
  <si>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</si>
  <si>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</si>
  <si>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</si>
  <si>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</si>
  <si>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Sales</t>
  </si>
  <si>
    <t xml:space="preserve">Sales Commission (5%)</t>
  </si>
  <si>
    <t xml:space="preserve">Sales Discount (2%)</t>
  </si>
  <si>
    <t xml:space="preserve">Direct Costs (55%)</t>
  </si>
  <si>
    <t xml:space="preserve">Office Rent</t>
  </si>
  <si>
    <t xml:space="preserve">Salaries (10 staff)</t>
  </si>
  <si>
    <t xml:space="preserve">Depreciation</t>
  </si>
  <si>
    <t xml:space="preserve">Other Expenses</t>
  </si>
  <si>
    <t xml:space="preserve">FY2026 Forecast Assumptions — apply these in Xero Budget Manager / the Forecast</t>
  </si>
  <si>
    <t xml:space="preserve">Assumption</t>
  </si>
  <si>
    <t xml:space="preserve">Value</t>
  </si>
  <si>
    <t xml:space="preserve">Sales growth vs same month last year</t>
  </si>
  <si>
    <t xml:space="preserve">Sales Commission (% of Sales)</t>
  </si>
  <si>
    <t xml:space="preserve">Sales Discount (% of Sales)</t>
  </si>
  <si>
    <t xml:space="preserve">Direct Costs (% of Revenue)</t>
  </si>
  <si>
    <t xml:space="preserve">Additional office from June (x current rent)</t>
  </si>
  <si>
    <t xml:space="preserve">Additional full-time headcount from July</t>
  </si>
  <si>
    <t xml:space="preserve">Average salary per head (per month)</t>
  </si>
  <si>
    <t xml:space="preserve">Depreciation on new capex (per month, from Jan)</t>
  </si>
  <si>
    <t xml:space="preserve">Income tax</t>
  </si>
  <si>
    <t xml:space="preserve">Ignore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</si>
</sst>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0.0"/>
    <numFmt numFmtId="168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F0FE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1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4" t="n">
        <v>75000</v>
      </c>
      <c r="C4" s="4" t="n">
        <v>76125</v>
      </c>
      <c r="D4" s="4" t="n">
        <v>77267</v>
      </c>
      <c r="E4" s="4" t="n">
        <v>78426</v>
      </c>
      <c r="F4" s="4" t="n">
        <v>79602</v>
      </c>
      <c r="G4" s="4" t="n">
        <v>80796</v>
      </c>
      <c r="H4" s="4" t="n">
        <v>82008</v>
      </c>
      <c r="I4" s="4" t="n">
        <v>83238</v>
      </c>
      <c r="J4" s="4" t="n">
        <v>84487</v>
      </c>
      <c r="K4" s="4" t="n">
        <v>85754</v>
      </c>
      <c r="L4" s="4" t="n">
        <v>87040</v>
      </c>
      <c r="M4" s="4" t="n">
        <v>88346</v>
      </c>
      <c r="N4" s="5" t="n">
        <f aca="false">SUM(B4:M4)</f>
        <v>978089</v>
      </c>
    </row>
    <row r="5" customFormat="false" ht="15" hidden="false" customHeight="false" outlineLevel="0" collapsed="false">
      <c r="A5" s="3" t="s">
        <v>16</v>
      </c>
      <c r="B5" s="4" t="n">
        <v>3750</v>
      </c>
      <c r="C5" s="4" t="n">
        <v>3806</v>
      </c>
      <c r="D5" s="4" t="n">
        <v>3863</v>
      </c>
      <c r="E5" s="4" t="n">
        <v>3921</v>
      </c>
      <c r="F5" s="4" t="n">
        <v>3980</v>
      </c>
      <c r="G5" s="4" t="n">
        <v>4040</v>
      </c>
      <c r="H5" s="4" t="n">
        <v>4100</v>
      </c>
      <c r="I5" s="4" t="n">
        <v>4162</v>
      </c>
      <c r="J5" s="4" t="n">
        <v>4224</v>
      </c>
      <c r="K5" s="4" t="n">
        <v>4288</v>
      </c>
      <c r="L5" s="4" t="n">
        <v>4352</v>
      </c>
      <c r="M5" s="4" t="n">
        <v>4417</v>
      </c>
      <c r="N5" s="5" t="n">
        <f aca="false">SUM(B5:M5)</f>
        <v>48903</v>
      </c>
    </row>
    <row r="6" customFormat="false" ht="15" hidden="false" customHeight="false" outlineLevel="0" collapsed="false">
      <c r="A6" s="3" t="s">
        <v>17</v>
      </c>
      <c r="B6" s="4" t="n">
        <v>1500</v>
      </c>
      <c r="C6" s="4" t="n">
        <v>1522</v>
      </c>
      <c r="D6" s="4" t="n">
        <v>1545</v>
      </c>
      <c r="E6" s="4" t="n">
        <v>1569</v>
      </c>
      <c r="F6" s="4" t="n">
        <v>1592</v>
      </c>
      <c r="G6" s="4" t="n">
        <v>1616</v>
      </c>
      <c r="H6" s="4" t="n">
        <v>1640</v>
      </c>
      <c r="I6" s="4" t="n">
        <v>1665</v>
      </c>
      <c r="J6" s="4" t="n">
        <v>1690</v>
      </c>
      <c r="K6" s="4" t="n">
        <v>1715</v>
      </c>
      <c r="L6" s="4" t="n">
        <v>1741</v>
      </c>
      <c r="M6" s="4" t="n">
        <v>1767</v>
      </c>
      <c r="N6" s="5" t="n">
        <f aca="false">SUM(B6:M6)</f>
        <v>19562</v>
      </c>
    </row>
    <row r="7" customFormat="false" ht="15" hidden="false" customHeight="false" outlineLevel="0" collapsed="false">
      <c r="A7" s="3" t="s">
        <v>18</v>
      </c>
      <c r="B7" s="4" t="n">
        <v>41250</v>
      </c>
      <c r="C7" s="4" t="n">
        <v>41869</v>
      </c>
      <c r="D7" s="4" t="n">
        <v>42497</v>
      </c>
      <c r="E7" s="4" t="n">
        <v>43134</v>
      </c>
      <c r="F7" s="4" t="n">
        <v>43781</v>
      </c>
      <c r="G7" s="4" t="n">
        <v>44438</v>
      </c>
      <c r="H7" s="4" t="n">
        <v>45104</v>
      </c>
      <c r="I7" s="4" t="n">
        <v>45781</v>
      </c>
      <c r="J7" s="4" t="n">
        <v>46468</v>
      </c>
      <c r="K7" s="4" t="n">
        <v>47165</v>
      </c>
      <c r="L7" s="4" t="n">
        <v>47872</v>
      </c>
      <c r="M7" s="4" t="n">
        <v>48590</v>
      </c>
      <c r="N7" s="5" t="n">
        <f aca="false">SUM(B7:M7)</f>
        <v>537949</v>
      </c>
    </row>
    <row r="8" customFormat="false" ht="15" hidden="false" customHeight="false" outlineLevel="0" collapsed="false">
      <c r="A8" s="3" t="s">
        <v>19</v>
      </c>
      <c r="B8" s="4" t="n">
        <v>7500</v>
      </c>
      <c r="C8" s="4" t="n">
        <v>7500</v>
      </c>
      <c r="D8" s="4" t="n">
        <v>7500</v>
      </c>
      <c r="E8" s="4" t="n">
        <v>7500</v>
      </c>
      <c r="F8" s="4" t="n">
        <v>7500</v>
      </c>
      <c r="G8" s="4" t="n">
        <v>7500</v>
      </c>
      <c r="H8" s="4" t="n">
        <v>7500</v>
      </c>
      <c r="I8" s="4" t="n">
        <v>7500</v>
      </c>
      <c r="J8" s="4" t="n">
        <v>7500</v>
      </c>
      <c r="K8" s="4" t="n">
        <v>7500</v>
      </c>
      <c r="L8" s="4" t="n">
        <v>7500</v>
      </c>
      <c r="M8" s="4" t="n">
        <v>7500</v>
      </c>
      <c r="N8" s="5" t="n">
        <f aca="false">SUM(B8:M8)</f>
        <v>90000</v>
      </c>
    </row>
    <row r="9" customFormat="false" ht="15" hidden="false" customHeight="false" outlineLevel="0" collapsed="false">
      <c r="A9" s="3" t="s">
        <v>20</v>
      </c>
      <c r="B9" s="4" t="n">
        <v>45000</v>
      </c>
      <c r="C9" s="4" t="n">
        <v>45000</v>
      </c>
      <c r="D9" s="4" t="n">
        <v>45000</v>
      </c>
      <c r="E9" s="4" t="n">
        <v>45000</v>
      </c>
      <c r="F9" s="4" t="n">
        <v>45000</v>
      </c>
      <c r="G9" s="4" t="n">
        <v>45000</v>
      </c>
      <c r="H9" s="4" t="n">
        <v>45000</v>
      </c>
      <c r="I9" s="4" t="n">
        <v>45000</v>
      </c>
      <c r="J9" s="4" t="n">
        <v>45000</v>
      </c>
      <c r="K9" s="4" t="n">
        <v>45000</v>
      </c>
      <c r="L9" s="4" t="n">
        <v>45000</v>
      </c>
      <c r="M9" s="4" t="n">
        <v>45000</v>
      </c>
      <c r="N9" s="5" t="n">
        <f aca="false">SUM(B9:M9)</f>
        <v>540000</v>
      </c>
    </row>
    <row r="10" customFormat="false" ht="15" hidden="false" customHeight="false" outlineLevel="0" collapsed="false">
      <c r="A10" s="3" t="s">
        <v>21</v>
      </c>
      <c r="B10" s="4" t="n">
        <v>12000</v>
      </c>
      <c r="C10" s="4" t="n">
        <v>12000</v>
      </c>
      <c r="D10" s="4" t="n">
        <v>12000</v>
      </c>
      <c r="E10" s="4" t="n">
        <v>12000</v>
      </c>
      <c r="F10" s="4" t="n">
        <v>12000</v>
      </c>
      <c r="G10" s="4" t="n">
        <v>12000</v>
      </c>
      <c r="H10" s="4" t="n">
        <v>12000</v>
      </c>
      <c r="I10" s="4" t="n">
        <v>12000</v>
      </c>
      <c r="J10" s="4" t="n">
        <v>12000</v>
      </c>
      <c r="K10" s="4" t="n">
        <v>12000</v>
      </c>
      <c r="L10" s="4" t="n">
        <v>12000</v>
      </c>
      <c r="M10" s="4" t="n">
        <v>12000</v>
      </c>
      <c r="N10" s="5" t="n">
        <f aca="false">SUM(B10:M10)</f>
        <v>144000</v>
      </c>
    </row>
    <row r="11" customFormat="false" ht="15" hidden="false" customHeight="false" outlineLevel="0" collapsed="false">
      <c r="A11" s="3" t="s">
        <v>22</v>
      </c>
      <c r="B11" s="4" t="n">
        <v>5000</v>
      </c>
      <c r="C11" s="4" t="n">
        <v>5000</v>
      </c>
      <c r="D11" s="4" t="n">
        <v>5000</v>
      </c>
      <c r="E11" s="4" t="n">
        <v>5000</v>
      </c>
      <c r="F11" s="4" t="n">
        <v>5000</v>
      </c>
      <c r="G11" s="4" t="n">
        <v>5000</v>
      </c>
      <c r="H11" s="4" t="n">
        <v>5000</v>
      </c>
      <c r="I11" s="4" t="n">
        <v>5000</v>
      </c>
      <c r="J11" s="4" t="n">
        <v>5000</v>
      </c>
      <c r="K11" s="4" t="n">
        <v>5000</v>
      </c>
      <c r="L11" s="4" t="n">
        <v>5000</v>
      </c>
      <c r="M11" s="4" t="n">
        <v>5000</v>
      </c>
      <c r="N11" s="5" t="n">
        <f aca="false">SUM(B11:M11)</f>
        <v>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23</v>
      </c>
    </row>
    <row r="3" customFormat="false" ht="15" hidden="false" customHeight="false" outlineLevel="0" collapsed="false">
      <c r="A3" s="2" t="s">
        <v>24</v>
      </c>
      <c r="B3" s="2" t="s">
        <v>25</v>
      </c>
    </row>
    <row r="4" customFormat="false" ht="15" hidden="false" customHeight="false" outlineLevel="0" collapsed="false">
      <c r="A4" s="3" t="s">
        <v>26</v>
      </c>
      <c r="B4" s="6" t="n">
        <v>0.1</v>
      </c>
    </row>
    <row r="5" customFormat="false" ht="15" hidden="false" customHeight="false" outlineLevel="0" collapsed="false">
      <c r="A5" s="3" t="s">
        <v>27</v>
      </c>
      <c r="B5" s="6" t="n">
        <v>0.05</v>
      </c>
    </row>
    <row r="6" customFormat="false" ht="15" hidden="false" customHeight="false" outlineLevel="0" collapsed="false">
      <c r="A6" s="3" t="s">
        <v>28</v>
      </c>
      <c r="B6" s="6" t="n">
        <v>0.02</v>
      </c>
    </row>
    <row r="7" customFormat="false" ht="15" hidden="false" customHeight="false" outlineLevel="0" collapsed="false">
      <c r="A7" s="3" t="s">
        <v>29</v>
      </c>
      <c r="B7" s="6" t="n">
        <v>0.55</v>
      </c>
    </row>
    <row r="8" customFormat="false" ht="15" hidden="false" customHeight="false" outlineLevel="0" collapsed="false">
      <c r="A8" s="3" t="s">
        <v>30</v>
      </c>
      <c r="B8" s="7" t="n">
        <v>1.5</v>
      </c>
    </row>
    <row r="9" customFormat="false" ht="15" hidden="false" customHeight="false" outlineLevel="0" collapsed="false">
      <c r="A9" s="3" t="s">
        <v>31</v>
      </c>
      <c r="B9" s="8" t="n">
        <v>3</v>
      </c>
    </row>
    <row r="10" customFormat="false" ht="15" hidden="false" customHeight="false" outlineLevel="0" collapsed="false">
      <c r="A10" s="3" t="s">
        <v>32</v>
      </c>
      <c r="B10" s="9" t="n">
        <v>4500</v>
      </c>
    </row>
    <row r="11" customFormat="false" ht="15" hidden="false" customHeight="false" outlineLevel="0" collapsed="false">
      <c r="A11" s="3" t="s">
        <v>33</v>
      </c>
      <c r="B11" s="9" t="n">
        <v>30000</v>
      </c>
    </row>
    <row r="12" customFormat="false" ht="15" hidden="false" customHeight="false" outlineLevel="0" collapsed="false">
      <c r="A12" s="3" t="s">
        <v>34</v>
      </c>
      <c r="B12" s="1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2026-08-10T18:08:22Z</dcterms:created>
  <dc:creator>openpyxl</dc:creator>
  <dc:description/>
  <dc:language>en-SG</dc:language>
  <cp:lastModifiedBy/>
  <dcterms:modified xsi:type="dcterms:W3CDTF">2026-08-10T18:08:22Z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