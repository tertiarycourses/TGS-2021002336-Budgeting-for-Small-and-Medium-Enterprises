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1 Revenue" sheetId="2" state="visible" r:id="rId4"/>
    <sheet name="2 Cost of Sales" sheetId="3" state="visible" r:id="rId5"/>
    <sheet name="3 SGA" sheetId="4" state="visible" r:id="rId6"/>
    <sheet name="4 Fixed Assets" sheetId="5" state="visible" r:id="rId7"/>
    <sheet name="5 Working Capital" sheetId="6" state="visible" r:id="rId8"/>
    <sheet name="6 Liabilities" sheetId="7" state="visible" r:id="rId9"/>
    <sheet name="7 Master Budge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<sst xmlns="http://schemas.openxmlformats.org/spreadsheetml/2006/main" count="59" uniqueCount="55">
  <si>
    <t xml:space="preserve">99 Agency — FY2026 Master Budget Working Template — Key Assumptions</t>
  </si>
  <si>
    <t xml:space="preserve">Assumption</t>
  </si>
  <si>
    <t xml:space="preserve">Value</t>
  </si>
  <si>
    <t xml:space="preserve">Market size (addressable, S$)</t>
  </si>
  <si>
    <t xml:space="preserve">99 Agency market share</t>
  </si>
  <si>
    <t xml:space="preserve">Committee rule</t>
  </si>
  <si>
    <t xml:space="preserve">Average of bottom-up and top-down</t>
  </si>
  <si>
    <t xml:space="preserve">Ad Campaigns cost of sales (% of Ad revenue)</t>
  </si>
  <si>
    <t xml:space="preserve">SEO Campaigns cost of sales (% of SEO revenue)</t>
  </si>
  <si>
    <t xml:space="preserve">Revenue split — Ad : SEO</t>
  </si>
  <si>
    <t xml:space="preserve">60% : 40%</t>
  </si>
  <si>
    <t xml:space="preserve">Fixed SG&amp;A: Office rent (annual)</t>
  </si>
  <si>
    <t xml:space="preserve">Fixed SG&amp;A: Accounting services</t>
  </si>
  <si>
    <t xml:space="preserve">Fixed SG&amp;A: Legal fees</t>
  </si>
  <si>
    <t xml:space="preserve">Fixed SG&amp;A: Staff training</t>
  </si>
  <si>
    <t xml:space="preserve">Fixed SG&amp;A: Management salaries</t>
  </si>
  <si>
    <t xml:space="preserve">Fixed SG&amp;A: Administration</t>
  </si>
  <si>
    <t xml:space="preserve">Variable SG&amp;A: External services (% revenue)</t>
  </si>
  <si>
    <t xml:space="preserve">Variable SG&amp;A: Selling commissions (% revenue)</t>
  </si>
  <si>
    <t xml:space="preserve">CAPEX Q1 / Q2 / Q3 / Q4</t>
  </si>
  <si>
    <t xml:space="preserve">40,000 / 60,000 / 25,000 / 80,000</t>
  </si>
  <si>
    <t xml:space="preserve">Beginning Fixed Assets</t>
  </si>
  <si>
    <t xml:space="preserve">Depreciation (% of beginning Fixed Assets)</t>
  </si>
  <si>
    <t xml:space="preserve">Financial liabilities: beginning</t>
  </si>
  <si>
    <t xml:space="preserve">Financial liabilities: ending (target)</t>
  </si>
  <si>
    <t xml:space="preserve">Interest rate</t>
  </si>
  <si>
    <t xml:space="preserve">Accounts receivable days</t>
  </si>
  <si>
    <t xml:space="preserve">Accounts payable days</t>
  </si>
  <si>
    <t xml:space="preserve">STEP 1 — Revenue Budget (bottom-up per client, then compare with top-down)</t>
  </si>
  <si>
    <t xml:space="preserve">Client</t>
  </si>
  <si>
    <t xml:space="preserve">FY2025 Revenue</t>
  </si>
  <si>
    <t xml:space="preserve">Growth</t>
  </si>
  <si>
    <t xml:space="preserve">FY2026 Bottom-Up</t>
  </si>
  <si>
    <t xml:space="preserve">Alpha Media</t>
  </si>
  <si>
    <t xml:space="preserve">Beta Retail</t>
  </si>
  <si>
    <t xml:space="preserve">City Schools</t>
  </si>
  <si>
    <t xml:space="preserve">Delta Tech</t>
  </si>
  <si>
    <t xml:space="preserve">Other Clients</t>
  </si>
  <si>
    <t xml:space="preserve">Bottom-up total</t>
  </si>
  <si>
    <t xml:space="preserve">Top-down target (market × share)</t>
  </si>
  <si>
    <t xml:space="preserve">Committee revenue target (average)</t>
  </si>
  <si>
    <t xml:space="preserve">STEP 2 — Cost of Sales Budget (baseline + averaging)</t>
  </si>
  <si>
    <t xml:space="preserve">Line</t>
  </si>
  <si>
    <t xml:space="preserve">FY2026</t>
  </si>
  <si>
    <t xml:space="preserve">Ad Campaigns revenue (60%)</t>
  </si>
  <si>
    <t xml:space="preserve">SEO Campaigns revenue (40%)</t>
  </si>
  <si>
    <t xml:space="preserve">Ad Campaigns cost (30%)</t>
  </si>
  <si>
    <t xml:space="preserve">SEO Campaigns cost (25%)</t>
  </si>
  <si>
    <t xml:space="preserve">Total Cost of Sales</t>
  </si>
  <si>
    <t xml:space="preserve">STEP 3 — SG&amp;A Budget</t>
  </si>
  <si>
    <t xml:space="preserve">Build this schedule from the Assumptions sheet — follow Activity 5 in the Learner Guide.</t>
  </si>
  <si>
    <t xml:space="preserve">STEP 4 — Fixed Assets &amp; Depreciation</t>
  </si>
  <si>
    <t xml:space="preserve">STEP 5 — Working Capital</t>
  </si>
  <si>
    <t xml:space="preserve">STEP 6 — Financial Liabilities</t>
  </si>
  <si>
    <t xml:space="preserve">STEP 7 — Master Budget Compilation (Income Statement · Balance Sheet · Cash Flow)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</si>
</sst>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8F0FE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0F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4" t="n">
        <v>12000000</v>
      </c>
    </row>
    <row r="5" customFormat="false" ht="15" hidden="false" customHeight="false" outlineLevel="0" collapsed="false">
      <c r="A5" s="3" t="s">
        <v>4</v>
      </c>
      <c r="B5" s="5" t="n">
        <v>0.12</v>
      </c>
    </row>
    <row r="6" customFormat="false" ht="15" hidden="false" customHeight="false" outlineLevel="0" collapsed="false">
      <c r="A6" s="3" t="s">
        <v>5</v>
      </c>
      <c r="B6" s="6" t="s">
        <v>6</v>
      </c>
    </row>
    <row r="7" customFormat="false" ht="15" hidden="false" customHeight="false" outlineLevel="0" collapsed="false">
      <c r="A7" s="3" t="s">
        <v>7</v>
      </c>
      <c r="B7" s="5" t="n">
        <v>0.3</v>
      </c>
    </row>
    <row r="8" customFormat="false" ht="15" hidden="false" customHeight="false" outlineLevel="0" collapsed="false">
      <c r="A8" s="3" t="s">
        <v>8</v>
      </c>
      <c r="B8" s="5" t="n">
        <v>0.25</v>
      </c>
    </row>
    <row r="9" customFormat="false" ht="15" hidden="false" customHeight="false" outlineLevel="0" collapsed="false">
      <c r="A9" s="3" t="s">
        <v>9</v>
      </c>
      <c r="B9" s="6" t="s">
        <v>10</v>
      </c>
    </row>
    <row r="10" customFormat="false" ht="15" hidden="false" customHeight="false" outlineLevel="0" collapsed="false">
      <c r="A10" s="3" t="s">
        <v>11</v>
      </c>
      <c r="B10" s="4" t="n">
        <v>60000</v>
      </c>
    </row>
    <row r="11" customFormat="false" ht="15" hidden="false" customHeight="false" outlineLevel="0" collapsed="false">
      <c r="A11" s="3" t="s">
        <v>12</v>
      </c>
      <c r="B11" s="4" t="n">
        <v>12000</v>
      </c>
    </row>
    <row r="12" customFormat="false" ht="15" hidden="false" customHeight="false" outlineLevel="0" collapsed="false">
      <c r="A12" s="3" t="s">
        <v>13</v>
      </c>
      <c r="B12" s="4" t="n">
        <v>8000</v>
      </c>
    </row>
    <row r="13" customFormat="false" ht="15" hidden="false" customHeight="false" outlineLevel="0" collapsed="false">
      <c r="A13" s="3" t="s">
        <v>14</v>
      </c>
      <c r="B13" s="4" t="n">
        <v>10000</v>
      </c>
    </row>
    <row r="14" customFormat="false" ht="15" hidden="false" customHeight="false" outlineLevel="0" collapsed="false">
      <c r="A14" s="3" t="s">
        <v>15</v>
      </c>
      <c r="B14" s="4" t="n">
        <v>180000</v>
      </c>
    </row>
    <row r="15" customFormat="false" ht="15" hidden="false" customHeight="false" outlineLevel="0" collapsed="false">
      <c r="A15" s="3" t="s">
        <v>16</v>
      </c>
      <c r="B15" s="4" t="n">
        <v>24000</v>
      </c>
    </row>
    <row r="16" customFormat="false" ht="15" hidden="false" customHeight="false" outlineLevel="0" collapsed="false">
      <c r="A16" s="3" t="s">
        <v>17</v>
      </c>
      <c r="B16" s="5" t="n">
        <v>0.04</v>
      </c>
    </row>
    <row r="17" customFormat="false" ht="15" hidden="false" customHeight="false" outlineLevel="0" collapsed="false">
      <c r="A17" s="3" t="s">
        <v>18</v>
      </c>
      <c r="B17" s="5" t="n">
        <v>0.03</v>
      </c>
    </row>
    <row r="18" customFormat="false" ht="15" hidden="false" customHeight="false" outlineLevel="0" collapsed="false">
      <c r="A18" s="3" t="s">
        <v>19</v>
      </c>
      <c r="B18" s="6" t="s">
        <v>20</v>
      </c>
    </row>
    <row r="19" customFormat="false" ht="15" hidden="false" customHeight="false" outlineLevel="0" collapsed="false">
      <c r="A19" s="3" t="s">
        <v>21</v>
      </c>
      <c r="B19" s="4" t="n">
        <v>400000</v>
      </c>
    </row>
    <row r="20" customFormat="false" ht="15" hidden="false" customHeight="false" outlineLevel="0" collapsed="false">
      <c r="A20" s="3" t="s">
        <v>22</v>
      </c>
      <c r="B20" s="5" t="n">
        <v>0.1</v>
      </c>
    </row>
    <row r="21" customFormat="false" ht="15" hidden="false" customHeight="false" outlineLevel="0" collapsed="false">
      <c r="A21" s="3" t="s">
        <v>23</v>
      </c>
      <c r="B21" s="4" t="n">
        <v>3200000</v>
      </c>
    </row>
    <row r="22" customFormat="false" ht="15" hidden="false" customHeight="false" outlineLevel="0" collapsed="false">
      <c r="A22" s="3" t="s">
        <v>24</v>
      </c>
      <c r="B22" s="4" t="n">
        <v>2800000</v>
      </c>
    </row>
    <row r="23" customFormat="false" ht="15" hidden="false" customHeight="false" outlineLevel="0" collapsed="false">
      <c r="A23" s="3" t="s">
        <v>25</v>
      </c>
      <c r="B23" s="5" t="n">
        <v>0.05</v>
      </c>
    </row>
    <row r="24" customFormat="false" ht="15" hidden="false" customHeight="false" outlineLevel="0" collapsed="false">
      <c r="A24" s="3" t="s">
        <v>26</v>
      </c>
      <c r="B24" s="7" t="n">
        <v>45</v>
      </c>
    </row>
    <row r="25" customFormat="false" ht="15" hidden="false" customHeight="false" outlineLevel="0" collapsed="false">
      <c r="A25" s="3" t="s">
        <v>27</v>
      </c>
      <c r="B25" s="7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28</v>
      </c>
    </row>
    <row r="3" customFormat="false" ht="15" hidden="false" customHeight="false" outlineLevel="0" collapsed="false">
      <c r="A3" s="2" t="s">
        <v>29</v>
      </c>
      <c r="B3" s="2" t="s">
        <v>30</v>
      </c>
      <c r="C3" s="2" t="s">
        <v>31</v>
      </c>
      <c r="D3" s="2" t="s">
        <v>32</v>
      </c>
    </row>
    <row r="4" customFormat="false" ht="15" hidden="false" customHeight="false" outlineLevel="0" collapsed="false">
      <c r="A4" s="3" t="s">
        <v>33</v>
      </c>
      <c r="B4" s="4" t="n">
        <v>320000</v>
      </c>
      <c r="C4" s="5" t="n">
        <v>0.12</v>
      </c>
      <c r="D4" s="8" t="n">
        <f aca="false">B4*(1+C4)</f>
        <v>358400</v>
      </c>
    </row>
    <row r="5" customFormat="false" ht="15" hidden="false" customHeight="false" outlineLevel="0" collapsed="false">
      <c r="A5" s="3" t="s">
        <v>34</v>
      </c>
      <c r="B5" s="4" t="n">
        <v>280000</v>
      </c>
      <c r="C5" s="5" t="n">
        <v>0.08</v>
      </c>
      <c r="D5" s="8" t="n">
        <f aca="false">B5*(1+C5)</f>
        <v>302400</v>
      </c>
    </row>
    <row r="6" customFormat="false" ht="15" hidden="false" customHeight="false" outlineLevel="0" collapsed="false">
      <c r="A6" s="3" t="s">
        <v>35</v>
      </c>
      <c r="B6" s="4" t="n">
        <v>240000</v>
      </c>
      <c r="C6" s="5" t="n">
        <v>0.15</v>
      </c>
      <c r="D6" s="8" t="n">
        <f aca="false">B6*(1+C6)</f>
        <v>276000</v>
      </c>
    </row>
    <row r="7" customFormat="false" ht="15" hidden="false" customHeight="false" outlineLevel="0" collapsed="false">
      <c r="A7" s="3" t="s">
        <v>36</v>
      </c>
      <c r="B7" s="4" t="n">
        <v>200000</v>
      </c>
      <c r="C7" s="5" t="n">
        <v>0.1</v>
      </c>
      <c r="D7" s="8" t="n">
        <f aca="false">B7*(1+C7)</f>
        <v>220000</v>
      </c>
    </row>
    <row r="8" customFormat="false" ht="15" hidden="false" customHeight="false" outlineLevel="0" collapsed="false">
      <c r="A8" s="3" t="s">
        <v>37</v>
      </c>
      <c r="B8" s="4" t="n">
        <v>360000</v>
      </c>
      <c r="C8" s="5" t="n">
        <v>0.05</v>
      </c>
      <c r="D8" s="8" t="n">
        <f aca="false">B8*(1+C8)</f>
        <v>378000</v>
      </c>
    </row>
    <row r="9" customFormat="false" ht="15" hidden="false" customHeight="false" outlineLevel="0" collapsed="false">
      <c r="A9" s="1" t="s">
        <v>38</v>
      </c>
      <c r="D9" s="9" t="n">
        <f aca="false">SUM(D4:D8)</f>
        <v>1534800</v>
      </c>
    </row>
    <row r="10" customFormat="false" ht="15" hidden="false" customHeight="false" outlineLevel="0" collapsed="false">
      <c r="A10" s="1" t="s">
        <v>39</v>
      </c>
      <c r="D10" s="9" t="n">
        <f aca="false">Assumptions!B4*Assumptions!B5</f>
        <v>1440000</v>
      </c>
    </row>
    <row r="11" customFormat="false" ht="15" hidden="false" customHeight="false" outlineLevel="0" collapsed="false">
      <c r="A11" s="1" t="s">
        <v>40</v>
      </c>
      <c r="D11" s="10" t="n">
        <f aca="false">AVERAGE(D9,D10)</f>
        <v>1487400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41</v>
      </c>
    </row>
    <row r="3" customFormat="false" ht="15" hidden="false" customHeight="false" outlineLevel="0" collapsed="false">
      <c r="A3" s="2" t="s">
        <v>42</v>
      </c>
      <c r="B3" s="2" t="s">
        <v>43</v>
      </c>
    </row>
    <row r="4" customFormat="false" ht="15" hidden="false" customHeight="false" outlineLevel="0" collapsed="false">
      <c r="A4" s="3" t="s">
        <v>44</v>
      </c>
      <c r="B4" s="8" t="n">
        <f aca="false">'1 Revenue'!D11*0.6</f>
        <v>892440</v>
      </c>
    </row>
    <row r="5" customFormat="false" ht="15" hidden="false" customHeight="false" outlineLevel="0" collapsed="false">
      <c r="A5" s="3" t="s">
        <v>45</v>
      </c>
      <c r="B5" s="8" t="n">
        <f aca="false">'1 Revenue'!D11*0.4</f>
        <v>594960</v>
      </c>
    </row>
    <row r="6" customFormat="false" ht="15" hidden="false" customHeight="false" outlineLevel="0" collapsed="false">
      <c r="A6" s="3" t="s">
        <v>46</v>
      </c>
      <c r="B6" s="8" t="n">
        <f aca="false">B4*Assumptions!B7</f>
        <v>267732</v>
      </c>
    </row>
    <row r="7" customFormat="false" ht="15" hidden="false" customHeight="false" outlineLevel="0" collapsed="false">
      <c r="A7" s="3" t="s">
        <v>47</v>
      </c>
      <c r="B7" s="8" t="n">
        <f aca="false">B5*Assumptions!B8</f>
        <v>148740</v>
      </c>
    </row>
    <row r="8" customFormat="false" ht="15" hidden="false" customHeight="false" outlineLevel="0" collapsed="false">
      <c r="A8" s="1" t="s">
        <v>48</v>
      </c>
      <c r="B8" s="9" t="n">
        <f aca="false">B6+B7</f>
        <v>416472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6"/>
  </cols>
  <sheetData>
    <row r="1" customFormat="false" ht="15" hidden="false" customHeight="false" outlineLevel="0" collapsed="false">
      <c r="A1" s="1" t="s">
        <v>49</v>
      </c>
    </row>
    <row r="2" customFormat="false" ht="15" hidden="false" customHeight="false" outlineLevel="0" collapsed="false">
      <c r="A2" s="11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6"/>
  </cols>
  <sheetData>
    <row r="1" customFormat="false" ht="15" hidden="false" customHeight="false" outlineLevel="0" collapsed="false">
      <c r="A1" s="1" t="s">
        <v>51</v>
      </c>
    </row>
    <row r="2" customFormat="false" ht="15" hidden="false" customHeight="false" outlineLevel="0" collapsed="false">
      <c r="A2" s="11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6"/>
  </cols>
  <sheetData>
    <row r="1" customFormat="false" ht="15" hidden="false" customHeight="false" outlineLevel="0" collapsed="false">
      <c r="A1" s="1" t="s">
        <v>52</v>
      </c>
    </row>
    <row r="2" customFormat="false" ht="15" hidden="false" customHeight="false" outlineLevel="0" collapsed="false">
      <c r="A2" s="11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6"/>
  </cols>
  <sheetData>
    <row r="1" customFormat="false" ht="15" hidden="false" customHeight="false" outlineLevel="0" collapsed="false">
      <c r="A1" s="1" t="s">
        <v>53</v>
      </c>
    </row>
    <row r="2" customFormat="false" ht="15" hidden="false" customHeight="false" outlineLevel="0" collapsed="false">
      <c r="A2" s="11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6"/>
  </cols>
  <sheetData>
    <row r="1" customFormat="false" ht="15" hidden="false" customHeight="false" outlineLevel="0" collapsed="false">
      <c r="A1" s="1" t="s">
        <v>54</v>
      </c>
    </row>
    <row r="2" customFormat="false" ht="15" hidden="false" customHeight="false" outlineLevel="0" collapsed="false">
      <c r="A2" s="11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2026-08-10T18:08:22Z</dcterms:created>
  <dc:creator>openpyxl</dc:creator>
  <dc:description/>
  <dc:language>en-SG</dc:language>
  <cp:lastModifiedBy/>
  <dcterms:modified xsi:type="dcterms:W3CDTF">2026-08-10T18:08:22Z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