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<sst xmlns="http://schemas.openxmlformats.org/spreadsheetml/2006/main" count="63" uniqueCount="62">
  <si>
    <t xml:space="preserve">GreenLeaf Trading Pte Ltd — Income Statement FY2025 (S$)</t>
  </si>
  <si>
    <t xml:space="preserve">Line Item</t>
  </si>
  <si>
    <t xml:space="preserve">Amount</t>
  </si>
  <si>
    <t xml:space="preserve">Revenue – Product Sales</t>
  </si>
  <si>
    <t xml:space="preserve">Revenue – Services</t>
  </si>
  <si>
    <t xml:space="preserve">Total Revenue</t>
  </si>
  <si>
    <t xml:space="preserve">Purchases</t>
  </si>
  <si>
    <t xml:space="preserve">Freight Inwards</t>
  </si>
  <si>
    <t xml:space="preserve">Total Cost of Goods Sold</t>
  </si>
  <si>
    <t xml:space="preserve">Gross Profit</t>
  </si>
  <si>
    <t xml:space="preserve">Salaries</t>
  </si>
  <si>
    <t xml:space="preserve">Office Rent</t>
  </si>
  <si>
    <t xml:space="preserve">Marketing</t>
  </si>
  <si>
    <t xml:space="preserve">Utilities</t>
  </si>
  <si>
    <t xml:space="preserve">Depreciation</t>
  </si>
  <si>
    <t xml:space="preserve">Other Expenses</t>
  </si>
  <si>
    <t xml:space="preserve">Total SG&amp;A</t>
  </si>
  <si>
    <t xml:space="preserve">Operating Profit</t>
  </si>
  <si>
    <t xml:space="preserve">Interest Expense</t>
  </si>
  <si>
    <t xml:space="preserve">Profit Before Tax</t>
  </si>
  <si>
    <t xml:space="preserve">Tax (17%)</t>
  </si>
  <si>
    <t xml:space="preserve">Net Profit</t>
  </si>
  <si>
    <t xml:space="preserve">Gross Profit Margin</t>
  </si>
  <si>
    <t xml:space="preserve">Net Profit Margin</t>
  </si>
  <si>
    <t xml:space="preserve">GreenLeaf Trading Pte Ltd — Balance Sheet as at 31 Dec 2025 (S$)</t>
  </si>
  <si>
    <t xml:space="preserve">ASSETS</t>
  </si>
  <si>
    <t xml:space="preserve">Cash and Bank</t>
  </si>
  <si>
    <t xml:space="preserve">Accounts Receivable</t>
  </si>
  <si>
    <t xml:space="preserve">Inventory</t>
  </si>
  <si>
    <t xml:space="preserve">Total Current Assets</t>
  </si>
  <si>
    <t xml:space="preserve">Property, Plant &amp; Equipment</t>
  </si>
  <si>
    <t xml:space="preserve">Accumulated Depreciation</t>
  </si>
  <si>
    <t xml:space="preserve">Net PP&amp;E</t>
  </si>
  <si>
    <t xml:space="preserve">TOTAL ASSETS</t>
  </si>
  <si>
    <t xml:space="preserve">LIABILITIES</t>
  </si>
  <si>
    <t xml:space="preserve">Accounts Payable</t>
  </si>
  <si>
    <t xml:space="preserve">Short-Term Loan</t>
  </si>
  <si>
    <t xml:space="preserve">Total Current Liabilities</t>
  </si>
  <si>
    <t xml:space="preserve">Long-Term Loan</t>
  </si>
  <si>
    <t xml:space="preserve">TOTAL LIABILITIES</t>
  </si>
  <si>
    <t xml:space="preserve">EQUITY</t>
  </si>
  <si>
    <t xml:space="preserve">Share Capital</t>
  </si>
  <si>
    <t xml:space="preserve">Retained Earnings</t>
  </si>
  <si>
    <t xml:space="preserve">TOTAL EQUITY</t>
  </si>
  <si>
    <t xml:space="preserve">Balance Check (Assets − Liabilities − Equity)</t>
  </si>
  <si>
    <t xml:space="preserve">GreenLeaf Trading Pte Ltd — Cash Flow Statement FY2025 (S$)</t>
  </si>
  <si>
    <t xml:space="preserve">OPERATING ACTIVITIES</t>
  </si>
  <si>
    <t xml:space="preserve">Add: Depreciation</t>
  </si>
  <si>
    <t xml:space="preserve">(Increase) in Accounts Receivable</t>
  </si>
  <si>
    <t xml:space="preserve">(Increase) in Inventory</t>
  </si>
  <si>
    <t xml:space="preserve">Increase in Accounts Payable</t>
  </si>
  <si>
    <t xml:space="preserve">Net Cash from Operating</t>
  </si>
  <si>
    <t xml:space="preserve">INVESTING ACTIVITIES</t>
  </si>
  <si>
    <t xml:space="preserve">Purchase of Equipment (CAPEX)</t>
  </si>
  <si>
    <t xml:space="preserve">Net Cash from Investing</t>
  </si>
  <si>
    <t xml:space="preserve">FINANCING ACTIVITIES</t>
  </si>
  <si>
    <t xml:space="preserve">Loan Repayment</t>
  </si>
  <si>
    <t xml:space="preserve">Dividends Paid</t>
  </si>
  <si>
    <t xml:space="preserve">Net Cash from Financing</t>
  </si>
  <si>
    <t xml:space="preserve">Net Change in Cash</t>
  </si>
  <si>
    <t xml:space="preserve">Opening Cash</t>
  </si>
  <si>
    <t xml:space="preserve">Closing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</si>
</sst>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v>850000</v>
      </c>
    </row>
    <row r="5" customFormat="false" ht="15" hidden="false" customHeight="false" outlineLevel="0" collapsed="false">
      <c r="A5" s="3" t="s">
        <v>4</v>
      </c>
      <c r="B5" s="4" t="n">
        <v>350000</v>
      </c>
    </row>
    <row r="6" customFormat="false" ht="15" hidden="false" customHeight="false" outlineLevel="0" collapsed="false">
      <c r="A6" s="1" t="s">
        <v>5</v>
      </c>
      <c r="B6" s="5" t="n">
        <f aca="false">SUM(B4:B5)</f>
        <v>1200000</v>
      </c>
    </row>
    <row r="7" customFormat="false" ht="15" hidden="false" customHeight="false" outlineLevel="0" collapsed="false">
      <c r="A7" s="3" t="s">
        <v>6</v>
      </c>
      <c r="B7" s="4" t="n">
        <v>420000</v>
      </c>
    </row>
    <row r="8" customFormat="false" ht="15" hidden="false" customHeight="false" outlineLevel="0" collapsed="false">
      <c r="A8" s="3" t="s">
        <v>7</v>
      </c>
      <c r="B8" s="4" t="n">
        <v>35000</v>
      </c>
    </row>
    <row r="9" customFormat="false" ht="15" hidden="false" customHeight="false" outlineLevel="0" collapsed="false">
      <c r="A9" s="1" t="s">
        <v>8</v>
      </c>
      <c r="B9" s="5" t="n">
        <f aca="false">SUM(B7:B8)</f>
        <v>455000</v>
      </c>
    </row>
    <row r="10" customFormat="false" ht="15" hidden="false" customHeight="false" outlineLevel="0" collapsed="false">
      <c r="A10" s="1" t="s">
        <v>9</v>
      </c>
      <c r="B10" s="5" t="n">
        <f aca="false">B6-B9</f>
        <v>745000</v>
      </c>
    </row>
    <row r="11" customFormat="false" ht="15" hidden="false" customHeight="false" outlineLevel="0" collapsed="false">
      <c r="A11" s="3" t="s">
        <v>10</v>
      </c>
      <c r="B11" s="4" t="n">
        <v>210000</v>
      </c>
    </row>
    <row r="12" customFormat="false" ht="15" hidden="false" customHeight="false" outlineLevel="0" collapsed="false">
      <c r="A12" s="3" t="s">
        <v>11</v>
      </c>
      <c r="B12" s="4" t="n">
        <v>96000</v>
      </c>
    </row>
    <row r="13" customFormat="false" ht="15" hidden="false" customHeight="false" outlineLevel="0" collapsed="false">
      <c r="A13" s="3" t="s">
        <v>12</v>
      </c>
      <c r="B13" s="4" t="n">
        <v>48000</v>
      </c>
    </row>
    <row r="14" customFormat="false" ht="15" hidden="false" customHeight="false" outlineLevel="0" collapsed="false">
      <c r="A14" s="3" t="s">
        <v>13</v>
      </c>
      <c r="B14" s="4" t="n">
        <v>18000</v>
      </c>
    </row>
    <row r="15" customFormat="false" ht="15" hidden="false" customHeight="false" outlineLevel="0" collapsed="false">
      <c r="A15" s="3" t="s">
        <v>14</v>
      </c>
      <c r="B15" s="4" t="n">
        <v>30000</v>
      </c>
    </row>
    <row r="16" customFormat="false" ht="15" hidden="false" customHeight="false" outlineLevel="0" collapsed="false">
      <c r="A16" s="3" t="s">
        <v>15</v>
      </c>
      <c r="B16" s="4" t="n">
        <v>22000</v>
      </c>
    </row>
    <row r="17" customFormat="false" ht="15" hidden="false" customHeight="false" outlineLevel="0" collapsed="false">
      <c r="A17" s="1" t="s">
        <v>16</v>
      </c>
      <c r="B17" s="5" t="n">
        <f aca="false">SUM(B11:B16)</f>
        <v>424000</v>
      </c>
    </row>
    <row r="18" customFormat="false" ht="15" hidden="false" customHeight="false" outlineLevel="0" collapsed="false">
      <c r="A18" s="1" t="s">
        <v>17</v>
      </c>
      <c r="B18" s="5" t="n">
        <f aca="false">B10-B17</f>
        <v>321000</v>
      </c>
    </row>
    <row r="19" customFormat="false" ht="15" hidden="false" customHeight="false" outlineLevel="0" collapsed="false">
      <c r="A19" s="3" t="s">
        <v>18</v>
      </c>
      <c r="B19" s="4" t="n">
        <v>12000</v>
      </c>
    </row>
    <row r="20" customFormat="false" ht="15" hidden="false" customHeight="false" outlineLevel="0" collapsed="false">
      <c r="A20" s="1" t="s">
        <v>19</v>
      </c>
      <c r="B20" s="5" t="n">
        <f aca="false">B18-B19</f>
        <v>309000</v>
      </c>
    </row>
    <row r="21" customFormat="false" ht="15" hidden="false" customHeight="false" outlineLevel="0" collapsed="false">
      <c r="A21" s="3" t="s">
        <v>20</v>
      </c>
      <c r="B21" s="6" t="n">
        <f aca="false">B20*0.17</f>
        <v>52530</v>
      </c>
    </row>
    <row r="22" customFormat="false" ht="15" hidden="false" customHeight="false" outlineLevel="0" collapsed="false">
      <c r="A22" s="1" t="s">
        <v>21</v>
      </c>
      <c r="B22" s="5" t="n">
        <f aca="false">B20-B21</f>
        <v>256470</v>
      </c>
    </row>
    <row r="24" customFormat="false" ht="15" hidden="false" customHeight="false" outlineLevel="0" collapsed="false">
      <c r="A24" s="3" t="s">
        <v>22</v>
      </c>
      <c r="B24" s="7" t="n">
        <f aca="false">B10/B6</f>
        <v>0.620833333333333</v>
      </c>
    </row>
    <row r="25" customFormat="false" ht="15" hidden="false" customHeight="false" outlineLevel="0" collapsed="false">
      <c r="A25" s="3" t="s">
        <v>23</v>
      </c>
      <c r="B25" s="7" t="n">
        <f aca="false">B22/B6</f>
        <v>0.213725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24</v>
      </c>
    </row>
    <row r="3" customFormat="false" ht="15" hidden="false" customHeight="false" outlineLevel="0" collapsed="false">
      <c r="A3" s="1" t="s">
        <v>25</v>
      </c>
    </row>
    <row r="4" customFormat="false" ht="15" hidden="false" customHeight="false" outlineLevel="0" collapsed="false">
      <c r="A4" s="3" t="s">
        <v>26</v>
      </c>
      <c r="B4" s="4" t="n">
        <v>185000</v>
      </c>
    </row>
    <row r="5" customFormat="false" ht="15" hidden="false" customHeight="false" outlineLevel="0" collapsed="false">
      <c r="A5" s="3" t="s">
        <v>27</v>
      </c>
      <c r="B5" s="4" t="n">
        <v>145000</v>
      </c>
    </row>
    <row r="6" customFormat="false" ht="15" hidden="false" customHeight="false" outlineLevel="0" collapsed="false">
      <c r="A6" s="3" t="s">
        <v>28</v>
      </c>
      <c r="B6" s="4" t="n">
        <v>120000</v>
      </c>
    </row>
    <row r="7" customFormat="false" ht="15" hidden="false" customHeight="false" outlineLevel="0" collapsed="false">
      <c r="A7" s="1" t="s">
        <v>29</v>
      </c>
      <c r="B7" s="5" t="n">
        <f aca="false">SUM(B4:B6)</f>
        <v>450000</v>
      </c>
    </row>
    <row r="8" customFormat="false" ht="15" hidden="false" customHeight="false" outlineLevel="0" collapsed="false">
      <c r="A8" s="3" t="s">
        <v>30</v>
      </c>
      <c r="B8" s="4" t="n">
        <v>380000</v>
      </c>
    </row>
    <row r="9" customFormat="false" ht="15" hidden="false" customHeight="false" outlineLevel="0" collapsed="false">
      <c r="A9" s="3" t="s">
        <v>31</v>
      </c>
      <c r="B9" s="4" t="n">
        <v>-60000</v>
      </c>
    </row>
    <row r="10" customFormat="false" ht="15" hidden="false" customHeight="false" outlineLevel="0" collapsed="false">
      <c r="A10" s="1" t="s">
        <v>32</v>
      </c>
      <c r="B10" s="5" t="n">
        <f aca="false">B8+B9</f>
        <v>320000</v>
      </c>
    </row>
    <row r="11" customFormat="false" ht="15" hidden="false" customHeight="false" outlineLevel="0" collapsed="false">
      <c r="A11" s="1" t="s">
        <v>33</v>
      </c>
      <c r="B11" s="5" t="n">
        <f aca="false">B7+B10</f>
        <v>770000</v>
      </c>
    </row>
    <row r="12" customFormat="false" ht="15" hidden="false" customHeight="false" outlineLevel="0" collapsed="false">
      <c r="A12" s="1" t="s">
        <v>34</v>
      </c>
    </row>
    <row r="13" customFormat="false" ht="15" hidden="false" customHeight="false" outlineLevel="0" collapsed="false">
      <c r="A13" s="3" t="s">
        <v>35</v>
      </c>
      <c r="B13" s="4" t="n">
        <v>98000</v>
      </c>
    </row>
    <row r="14" customFormat="false" ht="15" hidden="false" customHeight="false" outlineLevel="0" collapsed="false">
      <c r="A14" s="3" t="s">
        <v>36</v>
      </c>
      <c r="B14" s="4" t="n">
        <v>50000</v>
      </c>
    </row>
    <row r="15" customFormat="false" ht="15" hidden="false" customHeight="false" outlineLevel="0" collapsed="false">
      <c r="A15" s="1" t="s">
        <v>37</v>
      </c>
      <c r="B15" s="5" t="n">
        <f aca="false">SUM(B13:B14)</f>
        <v>148000</v>
      </c>
    </row>
    <row r="16" customFormat="false" ht="15" hidden="false" customHeight="false" outlineLevel="0" collapsed="false">
      <c r="A16" s="3" t="s">
        <v>38</v>
      </c>
      <c r="B16" s="4" t="n">
        <v>200000</v>
      </c>
    </row>
    <row r="17" customFormat="false" ht="15" hidden="false" customHeight="false" outlineLevel="0" collapsed="false">
      <c r="A17" s="1" t="s">
        <v>39</v>
      </c>
      <c r="B17" s="5" t="n">
        <f aca="false">B15+B16</f>
        <v>348000</v>
      </c>
    </row>
    <row r="18" customFormat="false" ht="15" hidden="false" customHeight="false" outlineLevel="0" collapsed="false">
      <c r="A18" s="1" t="s">
        <v>40</v>
      </c>
    </row>
    <row r="19" customFormat="false" ht="15" hidden="false" customHeight="false" outlineLevel="0" collapsed="false">
      <c r="A19" s="3" t="s">
        <v>41</v>
      </c>
      <c r="B19" s="4" t="n">
        <v>300000</v>
      </c>
    </row>
    <row r="20" customFormat="false" ht="15" hidden="false" customHeight="false" outlineLevel="0" collapsed="false">
      <c r="A20" s="3" t="s">
        <v>42</v>
      </c>
      <c r="B20" s="4" t="n">
        <v>122000</v>
      </c>
    </row>
    <row r="21" customFormat="false" ht="15" hidden="false" customHeight="false" outlineLevel="0" collapsed="false">
      <c r="A21" s="1" t="s">
        <v>43</v>
      </c>
      <c r="B21" s="5" t="n">
        <f aca="false">SUM(B19:B20)</f>
        <v>422000</v>
      </c>
    </row>
    <row r="22" customFormat="false" ht="15" hidden="false" customHeight="false" outlineLevel="0" collapsed="false">
      <c r="A22" s="1" t="s">
        <v>44</v>
      </c>
      <c r="B22" s="5" t="n">
        <f aca="false">B11-B17-B21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45</v>
      </c>
    </row>
    <row r="3" customFormat="false" ht="15" hidden="false" customHeight="false" outlineLevel="0" collapsed="false">
      <c r="A3" s="1" t="s">
        <v>46</v>
      </c>
    </row>
    <row r="4" customFormat="false" ht="15" hidden="false" customHeight="false" outlineLevel="0" collapsed="false">
      <c r="A4" s="3" t="s">
        <v>21</v>
      </c>
      <c r="B4" s="4" t="n">
        <v>256470</v>
      </c>
    </row>
    <row r="5" customFormat="false" ht="15" hidden="false" customHeight="false" outlineLevel="0" collapsed="false">
      <c r="A5" s="3" t="s">
        <v>47</v>
      </c>
      <c r="B5" s="4" t="n">
        <v>30000</v>
      </c>
    </row>
    <row r="6" customFormat="false" ht="15" hidden="false" customHeight="false" outlineLevel="0" collapsed="false">
      <c r="A6" s="3" t="s">
        <v>48</v>
      </c>
      <c r="B6" s="4" t="n">
        <v>-25000</v>
      </c>
    </row>
    <row r="7" customFormat="false" ht="15" hidden="false" customHeight="false" outlineLevel="0" collapsed="false">
      <c r="A7" s="3" t="s">
        <v>49</v>
      </c>
      <c r="B7" s="4" t="n">
        <v>-15000</v>
      </c>
    </row>
    <row r="8" customFormat="false" ht="15" hidden="false" customHeight="false" outlineLevel="0" collapsed="false">
      <c r="A8" s="3" t="s">
        <v>50</v>
      </c>
      <c r="B8" s="4" t="n">
        <v>8000</v>
      </c>
    </row>
    <row r="9" customFormat="false" ht="15" hidden="false" customHeight="false" outlineLevel="0" collapsed="false">
      <c r="A9" s="1" t="s">
        <v>51</v>
      </c>
      <c r="B9" s="5" t="n">
        <f aca="false">SUM(B4:B8)</f>
        <v>254470</v>
      </c>
    </row>
    <row r="10" customFormat="false" ht="15" hidden="false" customHeight="false" outlineLevel="0" collapsed="false">
      <c r="A10" s="1" t="s">
        <v>52</v>
      </c>
    </row>
    <row r="11" customFormat="false" ht="15" hidden="false" customHeight="false" outlineLevel="0" collapsed="false">
      <c r="A11" s="3" t="s">
        <v>53</v>
      </c>
      <c r="B11" s="4" t="n">
        <v>-80000</v>
      </c>
    </row>
    <row r="12" customFormat="false" ht="15" hidden="false" customHeight="false" outlineLevel="0" collapsed="false">
      <c r="A12" s="1" t="s">
        <v>54</v>
      </c>
      <c r="B12" s="5" t="n">
        <f aca="false">B11</f>
        <v>-80000</v>
      </c>
    </row>
    <row r="13" customFormat="false" ht="15" hidden="false" customHeight="false" outlineLevel="0" collapsed="false">
      <c r="A13" s="1" t="s">
        <v>55</v>
      </c>
    </row>
    <row r="14" customFormat="false" ht="15" hidden="false" customHeight="false" outlineLevel="0" collapsed="false">
      <c r="A14" s="3" t="s">
        <v>56</v>
      </c>
      <c r="B14" s="4" t="n">
        <v>-40000</v>
      </c>
    </row>
    <row r="15" customFormat="false" ht="15" hidden="false" customHeight="false" outlineLevel="0" collapsed="false">
      <c r="A15" s="3" t="s">
        <v>57</v>
      </c>
      <c r="B15" s="4" t="n">
        <v>-30000</v>
      </c>
    </row>
    <row r="16" customFormat="false" ht="15" hidden="false" customHeight="false" outlineLevel="0" collapsed="false">
      <c r="A16" s="1" t="s">
        <v>58</v>
      </c>
      <c r="B16" s="5" t="n">
        <f aca="false">SUM(B14:B15)</f>
        <v>-70000</v>
      </c>
    </row>
    <row r="17" customFormat="false" ht="15" hidden="false" customHeight="false" outlineLevel="0" collapsed="false">
      <c r="A17" s="1" t="s">
        <v>59</v>
      </c>
      <c r="B17" s="5" t="n">
        <f aca="false">B9+B12+B16</f>
        <v>104470</v>
      </c>
    </row>
    <row r="18" customFormat="false" ht="15" hidden="false" customHeight="false" outlineLevel="0" collapsed="false">
      <c r="A18" s="3" t="s">
        <v>60</v>
      </c>
      <c r="B18" s="4" t="n">
        <v>80530</v>
      </c>
    </row>
    <row r="19" customFormat="false" ht="15" hidden="false" customHeight="false" outlineLevel="0" collapsed="false">
      <c r="A19" s="1" t="s">
        <v>61</v>
      </c>
      <c r="B19" s="5" t="n">
        <f aca="false">B17+B18</f>
        <v>185000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