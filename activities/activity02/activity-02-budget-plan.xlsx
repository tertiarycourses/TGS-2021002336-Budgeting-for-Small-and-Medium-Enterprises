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FY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<sst xmlns="http://schemas.openxmlformats.org/spreadsheetml/2006/main" count="30" uniqueCount="29">
  <si>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GreenLeaf Trading Pte Ltd — FY2026 Budget Plan (S$)  ·  enter these figures into Xero Budget Manager</t>
  </si>
  <si>
    <t xml:space="preserve">Rates:</t>
  </si>
  <si>
    <t xml:space="preserve">Commission</t>
  </si>
  <si>
    <t xml:space="preserve">Discount</t>
  </si>
  <si>
    <t xml:space="preserve">Direct Costs</t>
  </si>
  <si>
    <t xml:space="preserve">Account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</si>
  <si>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</si>
  <si>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</si>
  <si>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</si>
  <si>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</si>
  <si>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</si>
  <si>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</si>
  <si>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</si>
  <si>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</si>
  <si>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</si>
  <si>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</si>
  <si>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</si>
  <si>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</si>
  <si>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</si>
  <si>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Sales</t>
  </si>
  <si>
    <t xml:space="preserve">Sales Commission</t>
  </si>
  <si>
    <t xml:space="preserve">Sales Discount</t>
  </si>
  <si>
    <t xml:space="preserve">Office Rent</t>
  </si>
  <si>
    <t xml:space="preserve">Salaries</t>
  </si>
  <si>
    <t xml:space="preserve">Marketing</t>
  </si>
  <si>
    <t xml:space="preserve">Utilities</t>
  </si>
  <si>
    <t xml:space="preserve">Depreciation</t>
  </si>
  <si>
    <t xml:space="preserve">Other Expenses</t>
  </si>
  <si>
    <t xml:space="preserve">Net Surplus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</si>
</sst>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$#,##0;&quot;($&quot;#,##0\);\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F0F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F0F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14" min="2" style="0" width="1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  <c r="B2" s="2" t="s">
        <v>2</v>
      </c>
      <c r="C2" s="3" t="n">
        <v>0.05</v>
      </c>
      <c r="D2" s="2" t="s">
        <v>3</v>
      </c>
      <c r="E2" s="3" t="n">
        <v>0.02</v>
      </c>
      <c r="F2" s="2" t="s">
        <v>4</v>
      </c>
      <c r="G2" s="3" t="n">
        <v>0.55</v>
      </c>
    </row>
    <row r="4" customFormat="false" ht="15" hidden="false" customHeight="false" outlineLevel="0" collapsed="false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</row>
    <row r="5" customFormat="false" ht="15" hidden="false" customHeight="false" outlineLevel="0" collapsed="false">
      <c r="A5" s="2" t="s">
        <v>19</v>
      </c>
      <c r="B5" s="5" t="n">
        <v>90000</v>
      </c>
      <c r="C5" s="5" t="n">
        <v>91800</v>
      </c>
      <c r="D5" s="5" t="n">
        <v>93636</v>
      </c>
      <c r="E5" s="5" t="n">
        <v>95509</v>
      </c>
      <c r="F5" s="5" t="n">
        <v>97419</v>
      </c>
      <c r="G5" s="5" t="n">
        <v>99367</v>
      </c>
      <c r="H5" s="5" t="n">
        <v>101354</v>
      </c>
      <c r="I5" s="5" t="n">
        <v>103381</v>
      </c>
      <c r="J5" s="5" t="n">
        <v>105449</v>
      </c>
      <c r="K5" s="5" t="n">
        <v>107558</v>
      </c>
      <c r="L5" s="5" t="n">
        <v>109709</v>
      </c>
      <c r="M5" s="5" t="n">
        <v>111903</v>
      </c>
      <c r="N5" s="6" t="n">
        <f aca="false">SUM(B5:M5)</f>
        <v>1207085</v>
      </c>
    </row>
    <row r="6" customFormat="false" ht="15" hidden="false" customHeight="false" outlineLevel="0" collapsed="false">
      <c r="A6" s="2" t="s">
        <v>20</v>
      </c>
      <c r="B6" s="7" t="n">
        <f aca="false">B5*$C$2</f>
        <v>4500</v>
      </c>
      <c r="C6" s="7" t="n">
        <f aca="false">C5*$C$2</f>
        <v>4590</v>
      </c>
      <c r="D6" s="7" t="n">
        <f aca="false">D5*$C$2</f>
        <v>4681.8</v>
      </c>
      <c r="E6" s="7" t="n">
        <f aca="false">E5*$C$2</f>
        <v>4775.45</v>
      </c>
      <c r="F6" s="7" t="n">
        <f aca="false">F5*$C$2</f>
        <v>4870.95</v>
      </c>
      <c r="G6" s="7" t="n">
        <f aca="false">G5*$C$2</f>
        <v>4968.35</v>
      </c>
      <c r="H6" s="7" t="n">
        <f aca="false">H5*$C$2</f>
        <v>5067.7</v>
      </c>
      <c r="I6" s="7" t="n">
        <f aca="false">I5*$C$2</f>
        <v>5169.05</v>
      </c>
      <c r="J6" s="7" t="n">
        <f aca="false">J5*$C$2</f>
        <v>5272.45</v>
      </c>
      <c r="K6" s="7" t="n">
        <f aca="false">K5*$C$2</f>
        <v>5377.9</v>
      </c>
      <c r="L6" s="7" t="n">
        <f aca="false">L5*$C$2</f>
        <v>5485.45</v>
      </c>
      <c r="M6" s="7" t="n">
        <f aca="false">M5*$C$2</f>
        <v>5595.15</v>
      </c>
      <c r="N6" s="6" t="n">
        <f aca="false">SUM(B6:M6)</f>
        <v>60354.25</v>
      </c>
    </row>
    <row r="7" customFormat="false" ht="15" hidden="false" customHeight="false" outlineLevel="0" collapsed="false">
      <c r="A7" s="2" t="s">
        <v>21</v>
      </c>
      <c r="B7" s="7" t="n">
        <f aca="false">B5*$E$2</f>
        <v>1800</v>
      </c>
      <c r="C7" s="7" t="n">
        <f aca="false">C5*$E$2</f>
        <v>1836</v>
      </c>
      <c r="D7" s="7" t="n">
        <f aca="false">D5*$E$2</f>
        <v>1872.72</v>
      </c>
      <c r="E7" s="7" t="n">
        <f aca="false">E5*$E$2</f>
        <v>1910.18</v>
      </c>
      <c r="F7" s="7" t="n">
        <f aca="false">F5*$E$2</f>
        <v>1948.38</v>
      </c>
      <c r="G7" s="7" t="n">
        <f aca="false">G5*$E$2</f>
        <v>1987.34</v>
      </c>
      <c r="H7" s="7" t="n">
        <f aca="false">H5*$E$2</f>
        <v>2027.08</v>
      </c>
      <c r="I7" s="7" t="n">
        <f aca="false">I5*$E$2</f>
        <v>2067.62</v>
      </c>
      <c r="J7" s="7" t="n">
        <f aca="false">J5*$E$2</f>
        <v>2108.98</v>
      </c>
      <c r="K7" s="7" t="n">
        <f aca="false">K5*$E$2</f>
        <v>2151.16</v>
      </c>
      <c r="L7" s="7" t="n">
        <f aca="false">L5*$E$2</f>
        <v>2194.18</v>
      </c>
      <c r="M7" s="7" t="n">
        <f aca="false">M5*$E$2</f>
        <v>2238.06</v>
      </c>
      <c r="N7" s="6" t="n">
        <f aca="false">SUM(B7:M7)</f>
        <v>24141.7</v>
      </c>
    </row>
    <row r="8" customFormat="false" ht="15" hidden="false" customHeight="false" outlineLevel="0" collapsed="false">
      <c r="A8" s="2" t="s">
        <v>4</v>
      </c>
      <c r="B8" s="7" t="n">
        <f aca="false">B5*$G$2</f>
        <v>49500</v>
      </c>
      <c r="C8" s="7" t="n">
        <f aca="false">C5*$G$2</f>
        <v>50490</v>
      </c>
      <c r="D8" s="7" t="n">
        <f aca="false">D5*$G$2</f>
        <v>51499.8</v>
      </c>
      <c r="E8" s="7" t="n">
        <f aca="false">E5*$G$2</f>
        <v>52529.95</v>
      </c>
      <c r="F8" s="7" t="n">
        <f aca="false">F5*$G$2</f>
        <v>53580.45</v>
      </c>
      <c r="G8" s="7" t="n">
        <f aca="false">G5*$G$2</f>
        <v>54651.85</v>
      </c>
      <c r="H8" s="7" t="n">
        <f aca="false">H5*$G$2</f>
        <v>55744.7</v>
      </c>
      <c r="I8" s="7" t="n">
        <f aca="false">I5*$G$2</f>
        <v>56859.55</v>
      </c>
      <c r="J8" s="7" t="n">
        <f aca="false">J5*$G$2</f>
        <v>57996.95</v>
      </c>
      <c r="K8" s="7" t="n">
        <f aca="false">K5*$G$2</f>
        <v>59156.9</v>
      </c>
      <c r="L8" s="7" t="n">
        <f aca="false">L5*$G$2</f>
        <v>60339.95</v>
      </c>
      <c r="M8" s="7" t="n">
        <f aca="false">M5*$G$2</f>
        <v>61546.65</v>
      </c>
      <c r="N8" s="6" t="n">
        <f aca="false">SUM(B8:M8)</f>
        <v>663896.75</v>
      </c>
    </row>
    <row r="9" customFormat="false" ht="15" hidden="false" customHeight="false" outlineLevel="0" collapsed="false">
      <c r="A9" s="2" t="s">
        <v>22</v>
      </c>
      <c r="B9" s="5" t="n">
        <v>8000</v>
      </c>
      <c r="C9" s="5" t="n">
        <v>8000</v>
      </c>
      <c r="D9" s="5" t="n">
        <v>8000</v>
      </c>
      <c r="E9" s="5" t="n">
        <v>8000</v>
      </c>
      <c r="F9" s="5" t="n">
        <v>8000</v>
      </c>
      <c r="G9" s="5" t="n">
        <v>8000</v>
      </c>
      <c r="H9" s="5" t="n">
        <v>8000</v>
      </c>
      <c r="I9" s="5" t="n">
        <v>8000</v>
      </c>
      <c r="J9" s="5" t="n">
        <v>8000</v>
      </c>
      <c r="K9" s="5" t="n">
        <v>8000</v>
      </c>
      <c r="L9" s="5" t="n">
        <v>8000</v>
      </c>
      <c r="M9" s="5" t="n">
        <v>8000</v>
      </c>
      <c r="N9" s="6" t="n">
        <f aca="false">SUM(B9:M9)</f>
        <v>96000</v>
      </c>
    </row>
    <row r="10" customFormat="false" ht="15" hidden="false" customHeight="false" outlineLevel="0" collapsed="false">
      <c r="A10" s="2" t="s">
        <v>23</v>
      </c>
      <c r="B10" s="5" t="n">
        <v>17500</v>
      </c>
      <c r="C10" s="5" t="n">
        <v>17500</v>
      </c>
      <c r="D10" s="5" t="n">
        <v>17500</v>
      </c>
      <c r="E10" s="5" t="n">
        <v>17500</v>
      </c>
      <c r="F10" s="5" t="n">
        <v>17500</v>
      </c>
      <c r="G10" s="5" t="n">
        <v>17500</v>
      </c>
      <c r="H10" s="5" t="n">
        <v>17500</v>
      </c>
      <c r="I10" s="5" t="n">
        <v>17500</v>
      </c>
      <c r="J10" s="5" t="n">
        <v>17500</v>
      </c>
      <c r="K10" s="5" t="n">
        <v>17500</v>
      </c>
      <c r="L10" s="5" t="n">
        <v>17500</v>
      </c>
      <c r="M10" s="5" t="n">
        <v>17500</v>
      </c>
      <c r="N10" s="6" t="n">
        <f aca="false">SUM(B10:M10)</f>
        <v>210000</v>
      </c>
    </row>
    <row r="11" customFormat="false" ht="15" hidden="false" customHeight="false" outlineLevel="0" collapsed="false">
      <c r="A11" s="2" t="s">
        <v>24</v>
      </c>
      <c r="B11" s="5" t="n">
        <v>4000</v>
      </c>
      <c r="C11" s="5" t="n">
        <v>4000</v>
      </c>
      <c r="D11" s="5" t="n">
        <v>4000</v>
      </c>
      <c r="E11" s="5" t="n">
        <v>4000</v>
      </c>
      <c r="F11" s="5" t="n">
        <v>4000</v>
      </c>
      <c r="G11" s="5" t="n">
        <v>4000</v>
      </c>
      <c r="H11" s="5" t="n">
        <v>4000</v>
      </c>
      <c r="I11" s="5" t="n">
        <v>4000</v>
      </c>
      <c r="J11" s="5" t="n">
        <v>4000</v>
      </c>
      <c r="K11" s="5" t="n">
        <v>4000</v>
      </c>
      <c r="L11" s="5" t="n">
        <v>4000</v>
      </c>
      <c r="M11" s="5" t="n">
        <v>4000</v>
      </c>
      <c r="N11" s="6" t="n">
        <f aca="false">SUM(B11:M11)</f>
        <v>48000</v>
      </c>
    </row>
    <row r="12" customFormat="false" ht="15" hidden="false" customHeight="false" outlineLevel="0" collapsed="false">
      <c r="A12" s="2" t="s">
        <v>25</v>
      </c>
      <c r="B12" s="5" t="n">
        <v>1500</v>
      </c>
      <c r="C12" s="5" t="n">
        <v>1500</v>
      </c>
      <c r="D12" s="5" t="n">
        <v>1500</v>
      </c>
      <c r="E12" s="5" t="n">
        <v>1500</v>
      </c>
      <c r="F12" s="5" t="n">
        <v>1500</v>
      </c>
      <c r="G12" s="5" t="n">
        <v>1500</v>
      </c>
      <c r="H12" s="5" t="n">
        <v>1500</v>
      </c>
      <c r="I12" s="5" t="n">
        <v>1500</v>
      </c>
      <c r="J12" s="5" t="n">
        <v>1500</v>
      </c>
      <c r="K12" s="5" t="n">
        <v>1500</v>
      </c>
      <c r="L12" s="5" t="n">
        <v>1500</v>
      </c>
      <c r="M12" s="5" t="n">
        <v>1500</v>
      </c>
      <c r="N12" s="6" t="n">
        <f aca="false">SUM(B12:M12)</f>
        <v>18000</v>
      </c>
    </row>
    <row r="13" customFormat="false" ht="15" hidden="false" customHeight="false" outlineLevel="0" collapsed="false">
      <c r="A13" s="2" t="s">
        <v>26</v>
      </c>
      <c r="B13" s="5" t="n">
        <v>2500</v>
      </c>
      <c r="C13" s="5" t="n">
        <v>2500</v>
      </c>
      <c r="D13" s="5" t="n">
        <v>2500</v>
      </c>
      <c r="E13" s="5" t="n">
        <v>2500</v>
      </c>
      <c r="F13" s="5" t="n">
        <v>2500</v>
      </c>
      <c r="G13" s="5" t="n">
        <v>2500</v>
      </c>
      <c r="H13" s="5" t="n">
        <v>2500</v>
      </c>
      <c r="I13" s="5" t="n">
        <v>2500</v>
      </c>
      <c r="J13" s="5" t="n">
        <v>2500</v>
      </c>
      <c r="K13" s="5" t="n">
        <v>2500</v>
      </c>
      <c r="L13" s="5" t="n">
        <v>2500</v>
      </c>
      <c r="M13" s="5" t="n">
        <v>2500</v>
      </c>
      <c r="N13" s="6" t="n">
        <f aca="false">SUM(B13:M13)</f>
        <v>30000</v>
      </c>
    </row>
    <row r="14" customFormat="false" ht="15" hidden="false" customHeight="false" outlineLevel="0" collapsed="false">
      <c r="A14" s="2" t="s">
        <v>27</v>
      </c>
      <c r="B14" s="5" t="n">
        <v>1800</v>
      </c>
      <c r="C14" s="5" t="n">
        <v>1800</v>
      </c>
      <c r="D14" s="5" t="n">
        <v>1800</v>
      </c>
      <c r="E14" s="5" t="n">
        <v>1800</v>
      </c>
      <c r="F14" s="5" t="n">
        <v>1800</v>
      </c>
      <c r="G14" s="5" t="n">
        <v>1800</v>
      </c>
      <c r="H14" s="5" t="n">
        <v>1800</v>
      </c>
      <c r="I14" s="5" t="n">
        <v>1800</v>
      </c>
      <c r="J14" s="5" t="n">
        <v>1800</v>
      </c>
      <c r="K14" s="5" t="n">
        <v>1800</v>
      </c>
      <c r="L14" s="5" t="n">
        <v>1800</v>
      </c>
      <c r="M14" s="5" t="n">
        <v>1800</v>
      </c>
      <c r="N14" s="6" t="n">
        <f aca="false">SUM(B14:M14)</f>
        <v>21600</v>
      </c>
    </row>
    <row r="15" customFormat="false" ht="15" hidden="false" customHeight="false" outlineLevel="0" collapsed="false">
      <c r="A15" s="1" t="s">
        <v>28</v>
      </c>
      <c r="B15" s="6" t="n">
        <f aca="false">B5-SUM(B6:B14)</f>
        <v>-1100</v>
      </c>
      <c r="C15" s="6" t="n">
        <f aca="false">C5-SUM(C6:C14)</f>
        <v>-416</v>
      </c>
      <c r="D15" s="6" t="n">
        <f aca="false">D5-SUM(D6:D14)</f>
        <v>281.679999999993</v>
      </c>
      <c r="E15" s="6" t="n">
        <f aca="false">E5-SUM(E6:E14)</f>
        <v>993.419999999998</v>
      </c>
      <c r="F15" s="6" t="n">
        <f aca="false">F5-SUM(F6:F14)</f>
        <v>1719.22</v>
      </c>
      <c r="G15" s="6" t="n">
        <f aca="false">G5-SUM(G6:G14)</f>
        <v>2459.45999999999</v>
      </c>
      <c r="H15" s="6" t="n">
        <f aca="false">H5-SUM(H6:H14)</f>
        <v>3214.51999999999</v>
      </c>
      <c r="I15" s="6" t="n">
        <f aca="false">I5-SUM(I6:I14)</f>
        <v>3984.78</v>
      </c>
      <c r="J15" s="6" t="n">
        <f aca="false">J5-SUM(J6:J14)</f>
        <v>4770.62</v>
      </c>
      <c r="K15" s="6" t="n">
        <f aca="false">K5-SUM(K6:K14)</f>
        <v>5572.03999999999</v>
      </c>
      <c r="L15" s="6" t="n">
        <f aca="false">L5-SUM(L6:L14)</f>
        <v>6389.42</v>
      </c>
      <c r="M15" s="6" t="n">
        <f aca="false">M5-SUM(M6:M14)</f>
        <v>7223.14</v>
      </c>
      <c r="N15" s="6" t="n">
        <f aca="false">SUM(B15:M15)</f>
        <v>35092.3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2026-08-10T18:08:22Z</dcterms:created>
  <dc:creator>openpyxl</dc:creator>
  <dc:description/>
  <dc:language>en-SG</dc:language>
  <cp:lastModifiedBy/>
  <dcterms:modified xsi:type="dcterms:W3CDTF">2026-08-10T18:08:22Z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