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ss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<sst xmlns="http://schemas.openxmlformats.org/spreadsheetml/2006/main" count="21" uniqueCount="21">
  <si>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GreenLeaf Trading Pte Ltd — FY2027 Departmental Budget Submissions (S$)</t>
  </si>
  <si>
    <t xml:space="preserve">HQ growth cap (total ask vs prior year):</t>
  </si>
  <si>
    <t xml:space="preserve">Department</t>
  </si>
  <si>
    <t xml:space="preserve">FY2026 Actual</t>
  </si>
  <si>
    <t xml:space="preserve">FY2027 Requested</t>
  </si>
  <si>
    <t xml:space="preserve">Growth %</t>
  </si>
  <si>
    <t xml:space="preserve">Justification</t>
  </si>
  <si>
    <t xml:space="preserve">Operations</t>
  </si>
  <si>
    <t xml:space="preserve">Two new production lines ramp up</t>
  </si>
  <si>
    <t xml:space="preserve">Sales</t>
  </si>
  <si>
    <t xml:space="preserve">Expansion into two new regions</t>
  </si>
  <si>
    <t xml:space="preserve">Marketing</t>
  </si>
  <si>
    <t xml:space="preserve">Brand refresh + always-on digital</t>
  </si>
  <si>
    <t xml:space="preserve">Human Resources</t>
  </si>
  <si>
    <t xml:space="preserve">Statutory increments only</t>
  </si>
  <si>
    <t xml:space="preserve">Finance</t>
  </si>
  <si>
    <t xml:space="preserve">Audit fee increase</t>
  </si>
  <si>
    <t xml:space="preserve">IT</t>
  </si>
  <si>
    <t xml:space="preserve">ERP budgeting module rollout</t>
  </si>
  <si>
    <t xml:space="preserve">Total</t>
  </si>
  <si>
    <t xml:space="preserve">Within HQ cap?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</si>
</sst>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0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0.08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2" t="s">
        <v>7</v>
      </c>
      <c r="B5" s="5" t="n">
        <v>452000</v>
      </c>
      <c r="C5" s="5" t="n">
        <v>495000</v>
      </c>
      <c r="D5" s="6" t="n">
        <f aca="false">(C5-B5)/B5</f>
        <v>0.0951327433628319</v>
      </c>
      <c r="E5" s="2" t="s">
        <v>8</v>
      </c>
    </row>
    <row r="6" customFormat="false" ht="15" hidden="false" customHeight="false" outlineLevel="0" collapsed="false">
      <c r="A6" s="2" t="s">
        <v>9</v>
      </c>
      <c r="B6" s="5" t="n">
        <v>287000</v>
      </c>
      <c r="C6" s="5" t="n">
        <v>340000</v>
      </c>
      <c r="D6" s="6" t="n">
        <f aca="false">(C6-B6)/B6</f>
        <v>0.184668989547038</v>
      </c>
      <c r="E6" s="2" t="s">
        <v>10</v>
      </c>
    </row>
    <row r="7" customFormat="false" ht="15" hidden="false" customHeight="false" outlineLevel="0" collapsed="false">
      <c r="A7" s="2" t="s">
        <v>11</v>
      </c>
      <c r="B7" s="5" t="n">
        <v>118000</v>
      </c>
      <c r="C7" s="5" t="n">
        <v>155000</v>
      </c>
      <c r="D7" s="6" t="n">
        <f aca="false">(C7-B7)/B7</f>
        <v>0.313559322033898</v>
      </c>
      <c r="E7" s="2" t="s">
        <v>12</v>
      </c>
    </row>
    <row r="8" customFormat="false" ht="15" hidden="false" customHeight="false" outlineLevel="0" collapsed="false">
      <c r="A8" s="2" t="s">
        <v>13</v>
      </c>
      <c r="B8" s="5" t="n">
        <v>88000</v>
      </c>
      <c r="C8" s="5" t="n">
        <v>92000</v>
      </c>
      <c r="D8" s="6" t="n">
        <f aca="false">(C8-B8)/B8</f>
        <v>0.0454545454545455</v>
      </c>
      <c r="E8" s="2" t="s">
        <v>14</v>
      </c>
    </row>
    <row r="9" customFormat="false" ht="15" hidden="false" customHeight="false" outlineLevel="0" collapsed="false">
      <c r="A9" s="2" t="s">
        <v>15</v>
      </c>
      <c r="B9" s="5" t="n">
        <v>74000</v>
      </c>
      <c r="C9" s="5" t="n">
        <v>76000</v>
      </c>
      <c r="D9" s="6" t="n">
        <f aca="false">(C9-B9)/B9</f>
        <v>0.027027027027027</v>
      </c>
      <c r="E9" s="2" t="s">
        <v>16</v>
      </c>
    </row>
    <row r="10" customFormat="false" ht="15" hidden="false" customHeight="false" outlineLevel="0" collapsed="false">
      <c r="A10" s="2" t="s">
        <v>17</v>
      </c>
      <c r="B10" s="5" t="n">
        <v>105000</v>
      </c>
      <c r="C10" s="5" t="n">
        <v>150000</v>
      </c>
      <c r="D10" s="6" t="n">
        <f aca="false">(C10-B10)/B10</f>
        <v>0.428571428571429</v>
      </c>
      <c r="E10" s="2" t="s">
        <v>18</v>
      </c>
    </row>
    <row r="11" customFormat="false" ht="15" hidden="false" customHeight="false" outlineLevel="0" collapsed="false">
      <c r="A11" s="1" t="s">
        <v>19</v>
      </c>
      <c r="B11" s="7" t="n">
        <f aca="false">SUM(B5:B10)</f>
        <v>1124000</v>
      </c>
      <c r="C11" s="7" t="n">
        <f aca="false">SUM(C5:C10)</f>
        <v>1308000</v>
      </c>
      <c r="D11" s="6" t="n">
        <f aca="false">(C11-B11)/B11</f>
        <v>0.163701067615658</v>
      </c>
    </row>
    <row r="12" customFormat="false" ht="15" hidden="false" customHeight="false" outlineLevel="0" collapsed="false">
      <c r="A12" s="2" t="s">
        <v>20</v>
      </c>
      <c r="B12" s="2" t="str">
        <f aca="false">IF(D11&lt;=B2,"YES","NO — committee must trim")</f>
        <v>NO — committee must trim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